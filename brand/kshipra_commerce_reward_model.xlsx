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Calculations" sheetId="3" state="visible" r:id="rId3"/>
    <sheet name="Scenarios" sheetId="4" state="visible" r:id="rId4"/>
    <sheet name="Investor Metrics" sheetId="5" state="visible" r:id="rId5"/>
    <sheet name="Sensitivity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0.00"/>
    <numFmt numFmtId="165" formatCode="$#,##0.00"/>
    <numFmt numFmtId="166" formatCode="0.0%"/>
    <numFmt numFmtId="167" formatCode="$#,##0"/>
    <numFmt numFmtId="168" formatCode="0.0&quot;x&quot;"/>
    <numFmt numFmtId="169" formatCode="0.0&quot; months&quot;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b val="1"/>
    </font>
    <font>
      <b val="1"/>
      <color rgb="0000AA00"/>
    </font>
    <font>
      <b val="1"/>
      <color rgb="00FFFFFF"/>
      <sz val="14"/>
    </font>
    <font>
      <b val="1"/>
      <sz val="12"/>
    </font>
    <font>
      <b val="1"/>
      <color rgb="0000AA00"/>
      <sz val="12"/>
    </font>
    <font>
      <i val="1"/>
      <color rgb="00666666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FF6600"/>
        <bgColor rgb="00FF6600"/>
      </patternFill>
    </fill>
    <fill>
      <patternFill patternType="solid">
        <fgColor rgb="00D3D3D3"/>
        <bgColor rgb="00D3D3D3"/>
      </patternFill>
    </fill>
    <fill>
      <patternFill patternType="solid">
        <fgColor rgb="00FFFF00"/>
        <bgColor rgb="00FFFF00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2" borderId="0" pivotButton="0" quotePrefix="0" xfId="0"/>
    <xf numFmtId="0" fontId="2" fillId="3" borderId="0" pivotButton="0" quotePrefix="0" xfId="0"/>
    <xf numFmtId="167" fontId="6" fillId="0" borderId="0" pivotButton="0" quotePrefix="0" xfId="0"/>
    <xf numFmtId="167" fontId="7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3" fillId="4" borderId="0" pivotButton="0" quotePrefix="0" xfId="0"/>
    <xf numFmtId="3" fontId="3" fillId="4" borderId="0" pivotButton="0" quotePrefix="0" xfId="0"/>
    <xf numFmtId="1" fontId="3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left" vertical="center"/>
    </xf>
    <xf numFmtId="3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6" fontId="3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9" fillId="0" borderId="0" pivotButton="0" quotePrefix="0" xfId="0"/>
    <xf numFmtId="169" fontId="9" fillId="0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KSHIPRA COMMERCE-REWARD MODEL DASHBOARD</t>
        </is>
      </c>
    </row>
    <row r="3">
      <c r="A3" s="2" t="inlineStr">
        <is>
          <t>KEY METRICS</t>
        </is>
      </c>
    </row>
    <row r="4">
      <c r="A4" t="inlineStr">
        <is>
          <t>Monthly Revenue:</t>
        </is>
      </c>
      <c r="B4" s="3">
        <f>Calculations!B8</f>
        <v/>
      </c>
    </row>
    <row r="5">
      <c r="A5" t="inlineStr">
        <is>
          <t>Monthly Margin:</t>
        </is>
      </c>
      <c r="B5" s="4">
        <f>Calculations!B13</f>
        <v/>
      </c>
    </row>
    <row r="6">
      <c r="A6" t="inlineStr">
        <is>
          <t>Margin %:</t>
        </is>
      </c>
      <c r="B6" s="5">
        <f>Calculations!B13/Calculations!B8</f>
        <v/>
      </c>
    </row>
    <row r="8">
      <c r="A8" t="inlineStr">
        <is>
          <t>User Net Bag Cost:</t>
        </is>
      </c>
      <c r="B8" s="6">
        <f>Calculations!B27</f>
        <v/>
      </c>
    </row>
    <row r="10">
      <c r="A10" s="7" t="inlineStr">
        <is>
          <t>📝 Edit assumptions in the 'Assumptions' sheet (yellow cells)</t>
        </is>
      </c>
    </row>
  </sheetData>
  <mergeCells count="3">
    <mergeCell ref="A1:D1"/>
    <mergeCell ref="A3:D3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8" t="inlineStr">
        <is>
          <t>KSHIPRA COMMERCE-REWARD MODEL - ASSUMPTIONS</t>
        </is>
      </c>
    </row>
    <row r="3">
      <c r="A3" s="2" t="inlineStr">
        <is>
          <t>PRICING &amp; VOLUME</t>
        </is>
      </c>
    </row>
    <row r="4">
      <c r="A4" t="inlineStr">
        <is>
          <t>Bag Retail Price</t>
        </is>
      </c>
      <c r="B4" s="9" t="n">
        <v>0.4</v>
      </c>
      <c r="C4" t="inlineStr">
        <is>
          <t>$</t>
        </is>
      </c>
    </row>
    <row r="5">
      <c r="A5" t="inlineStr">
        <is>
          <t>Bags Sold per Month</t>
        </is>
      </c>
      <c r="B5" s="10" t="n">
        <v>10000</v>
      </c>
      <c r="C5" t="inlineStr">
        <is>
          <t>bags</t>
        </is>
      </c>
    </row>
    <row r="7">
      <c r="A7" s="2" t="inlineStr">
        <is>
          <t>AD ECONOMICS</t>
        </is>
      </c>
    </row>
    <row r="8">
      <c r="A8" t="inlineStr">
        <is>
          <t>CPV - Brand Pays per View</t>
        </is>
      </c>
      <c r="B8" s="9" t="n">
        <v>0.25</v>
      </c>
      <c r="C8" t="inlineStr">
        <is>
          <t>$</t>
        </is>
      </c>
    </row>
    <row r="9">
      <c r="A9" t="inlineStr">
        <is>
          <t>Cash Credit per View</t>
        </is>
      </c>
      <c r="B9" s="9" t="n">
        <v>0.08</v>
      </c>
      <c r="C9" t="inlineStr">
        <is>
          <t>$</t>
        </is>
      </c>
    </row>
    <row r="10">
      <c r="A10" t="inlineStr">
        <is>
          <t>Reward Points per View</t>
        </is>
      </c>
      <c r="B10" s="9" t="n">
        <v>0.07000000000000001</v>
      </c>
      <c r="C10" t="inlineStr">
        <is>
          <t>$</t>
        </is>
      </c>
    </row>
    <row r="11">
      <c r="A11" t="inlineStr">
        <is>
          <t>Kshipra Margin per View</t>
        </is>
      </c>
      <c r="B11" s="9" t="n">
        <v>0.1</v>
      </c>
      <c r="C11" t="inlineStr">
        <is>
          <t>$</t>
        </is>
      </c>
    </row>
    <row r="13">
      <c r="A13" s="2" t="inlineStr">
        <is>
          <t>USER BEHAVIOR</t>
        </is>
      </c>
    </row>
    <row r="14">
      <c r="A14" t="inlineStr">
        <is>
          <t>Avg Ads to Recover Bag Cost</t>
        </is>
      </c>
      <c r="B14" s="11" t="n">
        <v>3</v>
      </c>
      <c r="C14" t="inlineStr">
        <is>
          <t>ads</t>
        </is>
      </c>
    </row>
    <row r="15">
      <c r="A15" t="inlineStr">
        <is>
          <t>Avg Monthly Ad Views per User</t>
        </is>
      </c>
      <c r="B15" s="11" t="n">
        <v>12</v>
      </c>
      <c r="C15" t="inlineStr">
        <is>
          <t>views</t>
        </is>
      </c>
    </row>
    <row r="17">
      <c r="A17" s="2" t="inlineStr">
        <is>
          <t>TIER CASH CREDIT LIMITS</t>
        </is>
      </c>
    </row>
    <row r="18">
      <c r="A18" t="inlineStr">
        <is>
          <t>Bronze - Bag Values/Month</t>
        </is>
      </c>
      <c r="B18" s="12" t="n">
        <v>1</v>
      </c>
    </row>
    <row r="19">
      <c r="A19" t="inlineStr">
        <is>
          <t>Silver - Bag Values/Month</t>
        </is>
      </c>
      <c r="B19" s="12" t="n">
        <v>3</v>
      </c>
    </row>
    <row r="20">
      <c r="A20" t="inlineStr">
        <is>
          <t>Gold - Bag Values/Month</t>
        </is>
      </c>
      <c r="B20" s="12" t="n">
        <v>7</v>
      </c>
    </row>
    <row r="21">
      <c r="A21" t="inlineStr">
        <is>
          <t>Platinum - Daily Cap ($)</t>
        </is>
      </c>
      <c r="B21" s="9" t="n">
        <v>1</v>
      </c>
    </row>
    <row r="23">
      <c r="A23" s="2" t="inlineStr">
        <is>
          <t>USER DISTRIBUTION BY TIER (%)</t>
        </is>
      </c>
    </row>
    <row r="24">
      <c r="A24" t="inlineStr">
        <is>
          <t>Bronze %</t>
        </is>
      </c>
      <c r="B24" s="12" t="n">
        <v>60</v>
      </c>
      <c r="C24" t="inlineStr">
        <is>
          <t>%</t>
        </is>
      </c>
    </row>
    <row r="25">
      <c r="A25" t="inlineStr">
        <is>
          <t>Silver %</t>
        </is>
      </c>
      <c r="B25" s="12" t="n">
        <v>25</v>
      </c>
      <c r="C25" t="inlineStr">
        <is>
          <t>%</t>
        </is>
      </c>
    </row>
    <row r="26">
      <c r="A26" t="inlineStr">
        <is>
          <t>Gold %</t>
        </is>
      </c>
      <c r="B26" s="12" t="n">
        <v>12</v>
      </c>
      <c r="C26" t="inlineStr">
        <is>
          <t>%</t>
        </is>
      </c>
    </row>
    <row r="27">
      <c r="A27" t="inlineStr">
        <is>
          <t>Platinum %</t>
        </is>
      </c>
      <c r="B27" s="12" t="n">
        <v>3</v>
      </c>
      <c r="C27" t="inlineStr">
        <is>
          <t>%</t>
        </is>
      </c>
    </row>
    <row r="29">
      <c r="A29" s="2" t="inlineStr">
        <is>
          <t>STORE &amp; REDEMPTION METRICS</t>
        </is>
      </c>
    </row>
    <row r="30">
      <c r="A30" t="inlineStr">
        <is>
          <t>Reward Redemption Rate</t>
        </is>
      </c>
      <c r="B30" s="12" t="n">
        <v>75</v>
      </c>
      <c r="C30" t="inlineStr">
        <is>
          <t>%</t>
        </is>
      </c>
    </row>
    <row r="31">
      <c r="A31" t="inlineStr">
        <is>
          <t>Repeat Visit Increase</t>
        </is>
      </c>
      <c r="B31" s="12" t="n">
        <v>15</v>
      </c>
      <c r="C31" t="inlineStr">
        <is>
          <t>%</t>
        </is>
      </c>
    </row>
    <row r="32">
      <c r="A32" t="inlineStr">
        <is>
          <t>Basket Size Uplift</t>
        </is>
      </c>
      <c r="B32" s="12" t="n">
        <v>8</v>
      </c>
      <c r="C32" t="inlineStr">
        <is>
          <t>%</t>
        </is>
      </c>
    </row>
    <row r="33">
      <c r="A33" t="inlineStr">
        <is>
          <t>Average Basket Value</t>
        </is>
      </c>
      <c r="B33" s="9" t="n">
        <v>25</v>
      </c>
      <c r="C33" t="inlineStr">
        <is>
          <t>$</t>
        </is>
      </c>
    </row>
    <row r="35">
      <c r="A35" s="2" t="inlineStr">
        <is>
          <t>BRAND BENCHMARKS</t>
        </is>
      </c>
    </row>
    <row r="36">
      <c r="A36" t="inlineStr">
        <is>
          <t>Meta CPM</t>
        </is>
      </c>
      <c r="B36" s="9" t="n">
        <v>10</v>
      </c>
      <c r="C36" t="inlineStr">
        <is>
          <t>$</t>
        </is>
      </c>
    </row>
    <row r="37">
      <c r="A37" t="inlineStr">
        <is>
          <t>TikTok CPM</t>
        </is>
      </c>
      <c r="B37" s="9" t="n">
        <v>8.5</v>
      </c>
      <c r="C37" t="inlineStr">
        <is>
          <t>$</t>
        </is>
      </c>
    </row>
    <row r="38">
      <c r="A38" t="inlineStr">
        <is>
          <t>Industry Avg CTR</t>
        </is>
      </c>
      <c r="B38" s="12" t="n">
        <v>1</v>
      </c>
      <c r="C38" t="inlineStr">
        <is>
          <t>%</t>
        </is>
      </c>
    </row>
  </sheetData>
  <mergeCells count="8">
    <mergeCell ref="A1:D1"/>
    <mergeCell ref="A17:D17"/>
    <mergeCell ref="A23:D23"/>
    <mergeCell ref="A35:D35"/>
    <mergeCell ref="A3:D3"/>
    <mergeCell ref="A29:D29"/>
    <mergeCell ref="A7:D7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13" t="inlineStr">
        <is>
          <t>DETAILED CALCULATIONS</t>
        </is>
      </c>
    </row>
    <row r="3">
      <c r="A3" s="2" t="inlineStr">
        <is>
          <t>MONTHLY BUSINESS SUMMARY</t>
        </is>
      </c>
    </row>
    <row r="4">
      <c r="A4" t="inlineStr">
        <is>
          <t>Bags Sold</t>
        </is>
      </c>
      <c r="B4" s="14">
        <f>Assumptions!B5</f>
        <v/>
      </c>
    </row>
    <row r="5">
      <c r="A5" t="inlineStr">
        <is>
          <t>Bag Revenue</t>
        </is>
      </c>
      <c r="B5" s="15">
        <f>Assumptions!B5*Assumptions!B4</f>
        <v/>
      </c>
    </row>
    <row r="6">
      <c r="A6" t="inlineStr">
        <is>
          <t>Total Ad Views</t>
        </is>
      </c>
      <c r="B6" s="14">
        <f>Assumptions!B5*Assumptions!B15</f>
        <v/>
      </c>
    </row>
    <row r="7">
      <c r="A7" t="inlineStr">
        <is>
          <t>Ad Revenue (Brand Spend)</t>
        </is>
      </c>
      <c r="B7" s="15">
        <f>B6*Assumptions!B8</f>
        <v/>
      </c>
    </row>
    <row r="8">
      <c r="A8" t="inlineStr">
        <is>
          <t>Total Revenue</t>
        </is>
      </c>
      <c r="B8" s="16">
        <f>B5+B7</f>
        <v/>
      </c>
    </row>
    <row r="10">
      <c r="A10" t="inlineStr">
        <is>
          <t>Total Cash Credits Paid</t>
        </is>
      </c>
      <c r="B10" s="15">
        <f>B6*Assumptions!B9</f>
        <v/>
      </c>
    </row>
    <row r="11">
      <c r="A11" t="inlineStr">
        <is>
          <t>Total Reward Points Issued</t>
        </is>
      </c>
      <c r="B11" s="15">
        <f>B6*Assumptions!B10</f>
        <v/>
      </c>
    </row>
    <row r="12">
      <c r="A12" t="inlineStr">
        <is>
          <t>Gross Margin (from Ads)</t>
        </is>
      </c>
      <c r="B12" s="15">
        <f>B6*Assumptions!B11</f>
        <v/>
      </c>
    </row>
    <row r="13">
      <c r="A13" t="inlineStr">
        <is>
          <t>Total Margin</t>
        </is>
      </c>
      <c r="B13" s="17">
        <f>B5+B12</f>
        <v/>
      </c>
    </row>
    <row r="14">
      <c r="A14" t="inlineStr">
        <is>
          <t>Margin %</t>
        </is>
      </c>
      <c r="B14" s="18">
        <f>B13/B8</f>
        <v/>
      </c>
    </row>
    <row r="16">
      <c r="A16" s="2" t="inlineStr">
        <is>
          <t>PER USER METRICS</t>
        </is>
      </c>
    </row>
    <row r="17">
      <c r="A17" t="inlineStr">
        <is>
          <t>Monthly Ad Views</t>
        </is>
      </c>
      <c r="B17">
        <f>Assumptions!B15</f>
        <v/>
      </c>
    </row>
    <row r="18">
      <c r="A18" t="inlineStr">
        <is>
          <t>Brand Spend per User</t>
        </is>
      </c>
      <c r="B18" s="19">
        <f>Assumptions!B15*Assumptions!B8</f>
        <v/>
      </c>
    </row>
    <row r="19">
      <c r="A19" t="inlineStr">
        <is>
          <t>User Rewards per Month</t>
        </is>
      </c>
      <c r="B19" s="19">
        <f>Assumptions!B15*(Assumptions!B9+Assumptions!B10)</f>
        <v/>
      </c>
    </row>
    <row r="20">
      <c r="A20" t="inlineStr">
        <is>
          <t>Kshipra Margin per User</t>
        </is>
      </c>
      <c r="B20" s="19">
        <f>Assumptions!B15*Assumptions!B11</f>
        <v/>
      </c>
    </row>
    <row r="22">
      <c r="A22" s="2" t="inlineStr">
        <is>
          <t>PER BAG METRICS</t>
        </is>
      </c>
    </row>
    <row r="23">
      <c r="A23" t="inlineStr">
        <is>
          <t>Bag Retail Revenue</t>
        </is>
      </c>
      <c r="B23" s="19">
        <f>Assumptions!B4</f>
        <v/>
      </c>
    </row>
    <row r="24">
      <c r="A24" t="inlineStr">
        <is>
          <t>Ad Views per Bag</t>
        </is>
      </c>
      <c r="B24">
        <f>Assumptions!B14</f>
        <v/>
      </c>
    </row>
    <row r="25">
      <c r="A25" t="inlineStr">
        <is>
          <t>Brand Revenue per Bag</t>
        </is>
      </c>
      <c r="B25" s="19">
        <f>Assumptions!B14*Assumptions!B8</f>
        <v/>
      </c>
    </row>
    <row r="26">
      <c r="A26" t="inlineStr">
        <is>
          <t>User Earnings per Bag</t>
        </is>
      </c>
      <c r="B26" s="19">
        <f>Assumptions!B14*(Assumptions!B9+Assumptions!B10)</f>
        <v/>
      </c>
    </row>
    <row r="27">
      <c r="A27" t="inlineStr">
        <is>
          <t>User Net Cost</t>
        </is>
      </c>
      <c r="B27" s="20">
        <f>Assumptions!B4-B26</f>
        <v/>
      </c>
    </row>
    <row r="29">
      <c r="A29" s="2" t="inlineStr">
        <is>
          <t>STORE VALUE METRICS</t>
        </is>
      </c>
    </row>
    <row r="30">
      <c r="A30" t="inlineStr">
        <is>
          <t>Total Rewards Generated</t>
        </is>
      </c>
      <c r="B30" s="15">
        <f>B6*(Assumptions!B9+Assumptions!B10)</f>
        <v/>
      </c>
    </row>
    <row r="31">
      <c r="A31" t="inlineStr">
        <is>
          <t>Reward Redemption Value</t>
        </is>
      </c>
      <c r="B31" s="15">
        <f>B30*Assumptions!B30/100</f>
        <v/>
      </c>
    </row>
    <row r="32">
      <c r="A32" t="inlineStr">
        <is>
          <t>Estimated Transactions</t>
        </is>
      </c>
      <c r="B32" s="14">
        <f>Assumptions!B5*Assumptions!B30/100</f>
        <v/>
      </c>
    </row>
    <row r="33">
      <c r="A33" t="inlineStr">
        <is>
          <t>Baseline Basket Value</t>
        </is>
      </c>
      <c r="B33" s="15">
        <f>B32*Assumptions!B33</f>
        <v/>
      </c>
    </row>
    <row r="34">
      <c r="A34" t="inlineStr">
        <is>
          <t>Incremental Basket Value</t>
        </is>
      </c>
      <c r="B34" s="15">
        <f>B33*Assumptions!B32/100</f>
        <v/>
      </c>
    </row>
    <row r="36">
      <c r="A36" s="2" t="inlineStr">
        <is>
          <t>BRAND ROI METRICS</t>
        </is>
      </c>
    </row>
    <row r="37">
      <c r="A37" t="inlineStr">
        <is>
          <t>BagBuddy CPM</t>
        </is>
      </c>
      <c r="B37" s="19">
        <f>Assumptions!B8*1000</f>
        <v/>
      </c>
    </row>
    <row r="38">
      <c r="A38" t="inlineStr">
        <is>
          <t>Cost per Basket Influenced</t>
        </is>
      </c>
      <c r="B38" s="19">
        <f>B7/B32</f>
        <v/>
      </c>
    </row>
    <row r="39">
      <c r="A39" t="inlineStr">
        <is>
          <t>BagBuddy vs Meta Savings</t>
        </is>
      </c>
      <c r="B39" s="21">
        <f>(Assumptions!B36-Assumptions!B8*1000)/Assumptions!B36</f>
        <v/>
      </c>
    </row>
  </sheetData>
  <mergeCells count="6">
    <mergeCell ref="A36:C36"/>
    <mergeCell ref="A1:C1"/>
    <mergeCell ref="A22:C22"/>
    <mergeCell ref="A3:C3"/>
    <mergeCell ref="A29:C29"/>
    <mergeCell ref="A16:C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3" t="inlineStr">
        <is>
          <t>SCENARIO COMPARISON</t>
        </is>
      </c>
    </row>
    <row r="3">
      <c r="A3" s="2" t="inlineStr">
        <is>
          <t>Metric</t>
        </is>
      </c>
      <c r="B3" s="2" t="inlineStr">
        <is>
          <t>Worst Case</t>
        </is>
      </c>
      <c r="C3" s="2" t="inlineStr">
        <is>
          <t>Base Case</t>
        </is>
      </c>
      <c r="D3" s="2" t="inlineStr">
        <is>
          <t>Best Case</t>
        </is>
      </c>
      <c r="E3" s="2" t="inlineStr">
        <is>
          <t>Unit</t>
        </is>
      </c>
    </row>
    <row r="4">
      <c r="A4" t="inlineStr">
        <is>
          <t>Monthly Revenue</t>
        </is>
      </c>
      <c r="B4" s="22" t="n">
        <v>19000</v>
      </c>
      <c r="C4" s="22" t="n">
        <v>34000</v>
      </c>
      <c r="D4" s="22" t="n">
        <v>54000</v>
      </c>
      <c r="E4" t="inlineStr">
        <is>
          <t>$</t>
        </is>
      </c>
    </row>
    <row r="5">
      <c r="A5" t="inlineStr">
        <is>
          <t>Monthly Margin</t>
        </is>
      </c>
      <c r="B5" s="22" t="n">
        <v>10000</v>
      </c>
      <c r="C5" s="22" t="n">
        <v>16000</v>
      </c>
      <c r="D5" s="22" t="n">
        <v>24000</v>
      </c>
      <c r="E5" t="inlineStr">
        <is>
          <t>$</t>
        </is>
      </c>
    </row>
    <row r="6">
      <c r="A6" t="inlineStr">
        <is>
          <t>Margin %</t>
        </is>
      </c>
      <c r="B6" s="21" t="n">
        <v>0.5263157894736842</v>
      </c>
      <c r="C6" s="21" t="n">
        <v>0.4705882352941176</v>
      </c>
      <c r="D6" s="21" t="n">
        <v>0.4444444444444444</v>
      </c>
      <c r="E6" t="inlineStr">
        <is>
          <t>%</t>
        </is>
      </c>
    </row>
    <row r="7">
      <c r="A7" t="inlineStr">
        <is>
          <t>Total Ad Views</t>
        </is>
      </c>
      <c r="B7" s="14" t="n">
        <v>60000</v>
      </c>
      <c r="C7" s="14" t="n">
        <v>120000</v>
      </c>
      <c r="D7" s="14" t="n">
        <v>200000</v>
      </c>
      <c r="E7" t="inlineStr">
        <is>
          <t>views</t>
        </is>
      </c>
    </row>
    <row r="9">
      <c r="A9" t="inlineStr">
        <is>
          <t>Store Value Created</t>
        </is>
      </c>
      <c r="B9" s="22" t="n">
        <v>8250</v>
      </c>
      <c r="C9" s="22" t="n">
        <v>28500</v>
      </c>
      <c r="D9" s="22" t="n">
        <v>57374.99999999997</v>
      </c>
      <c r="E9" t="inlineStr">
        <is>
          <t>$</t>
        </is>
      </c>
    </row>
    <row r="10">
      <c r="A10" t="inlineStr">
        <is>
          <t>Reward Redemptions</t>
        </is>
      </c>
      <c r="B10" s="22" t="n">
        <v>4500</v>
      </c>
      <c r="C10" s="22" t="n">
        <v>13500</v>
      </c>
      <c r="D10" s="22" t="n">
        <v>25500</v>
      </c>
      <c r="E10" t="inlineStr">
        <is>
          <t>$</t>
        </is>
      </c>
    </row>
    <row r="12">
      <c r="A12" s="2" t="inlineStr">
        <is>
          <t>KEY ASSUMPTION DIFFERENCES</t>
        </is>
      </c>
    </row>
    <row r="13">
      <c r="A13" t="inlineStr">
        <is>
          <t>Avg Monthly Ad Views/User</t>
        </is>
      </c>
      <c r="B13" t="n">
        <v>6</v>
      </c>
      <c r="C13" t="n">
        <v>12</v>
      </c>
      <c r="D13" t="n">
        <v>20</v>
      </c>
    </row>
    <row r="14">
      <c r="A14" t="inlineStr">
        <is>
          <t>Platinum Users %</t>
        </is>
      </c>
      <c r="B14" t="n">
        <v>1</v>
      </c>
      <c r="C14" t="n">
        <v>3</v>
      </c>
      <c r="D14" t="n">
        <v>8</v>
      </c>
      <c r="E14" t="inlineStr">
        <is>
          <t>%</t>
        </is>
      </c>
    </row>
    <row r="15">
      <c r="A15" t="inlineStr">
        <is>
          <t>Redemption Rate %</t>
        </is>
      </c>
      <c r="B15" t="n">
        <v>50</v>
      </c>
      <c r="C15" t="n">
        <v>75</v>
      </c>
      <c r="D15" t="n">
        <v>85</v>
      </c>
      <c r="E15" t="inlineStr">
        <is>
          <t>%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8" t="inlineStr">
        <is>
          <t>INVESTOR METRICS</t>
        </is>
      </c>
    </row>
    <row r="3">
      <c r="A3" s="2" t="inlineStr">
        <is>
          <t>UNIT ECONOMICS</t>
        </is>
      </c>
    </row>
    <row r="4">
      <c r="A4" t="inlineStr">
        <is>
          <t>Customer Acquisition Cost (CAC)</t>
        </is>
      </c>
      <c r="B4" s="9" t="n">
        <v>2</v>
      </c>
      <c r="C4" t="inlineStr">
        <is>
          <t>Assumed marketing cost per user</t>
        </is>
      </c>
    </row>
    <row r="5">
      <c r="A5" t="inlineStr">
        <is>
          <t>Avg User Lifetime (months)</t>
        </is>
      </c>
      <c r="B5" s="12" t="n">
        <v>12</v>
      </c>
      <c r="C5" t="inlineStr">
        <is>
          <t>months</t>
        </is>
      </c>
    </row>
    <row r="7">
      <c r="A7" s="2" t="inlineStr">
        <is>
          <t>LIFETIME VALUE (LTV) CALCULATION</t>
        </is>
      </c>
    </row>
    <row r="8">
      <c r="A8" t="inlineStr">
        <is>
          <t>LTV from Bag Sales</t>
        </is>
      </c>
      <c r="B8" s="19">
        <f>B5*(Assumptions!B4)</f>
        <v/>
      </c>
    </row>
    <row r="9">
      <c r="A9" t="inlineStr">
        <is>
          <t>LTV from Ad Revenue</t>
        </is>
      </c>
      <c r="B9" s="19">
        <f>B5*Assumptions!B15*Assumptions!B11</f>
        <v/>
      </c>
    </row>
    <row r="10">
      <c r="A10" t="inlineStr">
        <is>
          <t>Total LTV</t>
        </is>
      </c>
      <c r="B10" s="6">
        <f>B8+B9</f>
        <v/>
      </c>
    </row>
    <row r="12">
      <c r="A12" s="2" t="inlineStr">
        <is>
          <t>KEY RATIOS</t>
        </is>
      </c>
    </row>
    <row r="13">
      <c r="A13" t="inlineStr">
        <is>
          <t>LTV:CAC Ratio</t>
        </is>
      </c>
      <c r="B13" s="23">
        <f>B10/B4</f>
        <v/>
      </c>
      <c r="C13" t="inlineStr">
        <is>
          <t>Target: &gt;3x</t>
        </is>
      </c>
    </row>
    <row r="14">
      <c r="A14" t="inlineStr">
        <is>
          <t>Monthly Contribution Margin</t>
        </is>
      </c>
      <c r="B14" s="19">
        <f>(Assumptions!B4)+(Assumptions!B15*Assumptions!B11)</f>
        <v/>
      </c>
    </row>
    <row r="15">
      <c r="A15" t="inlineStr">
        <is>
          <t>Payback Period (months)</t>
        </is>
      </c>
      <c r="B15" s="24">
        <f>B4/B14</f>
        <v/>
      </c>
      <c r="C15" t="inlineStr">
        <is>
          <t>Target: &lt;6 months</t>
        </is>
      </c>
    </row>
    <row r="17">
      <c r="A17" s="2" t="inlineStr">
        <is>
          <t>ANNUAL PROJECTIONS</t>
        </is>
      </c>
    </row>
    <row r="18">
      <c r="A18" t="inlineStr">
        <is>
          <t>Annual Revenue (12 months)</t>
        </is>
      </c>
      <c r="B18" s="22">
        <f>Calculations!B8*12</f>
        <v/>
      </c>
    </row>
    <row r="19">
      <c r="A19" t="inlineStr">
        <is>
          <t>Annual Margin (12 months)</t>
        </is>
      </c>
      <c r="B19" s="25">
        <f>Calculations!B13*12</f>
        <v/>
      </c>
    </row>
    <row r="20">
      <c r="A20" t="inlineStr">
        <is>
          <t>Annual Store Value Created</t>
        </is>
      </c>
      <c r="B20" s="22">
        <f>Calculations!B32*12*Assumptions!B33*1.15</f>
        <v/>
      </c>
    </row>
  </sheetData>
  <mergeCells count="5">
    <mergeCell ref="A1:C1"/>
    <mergeCell ref="A17:C17"/>
    <mergeCell ref="A3:C3"/>
    <mergeCell ref="A12:C12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3" t="inlineStr">
        <is>
          <t>SENSITIVITY ANALYSIS</t>
        </is>
      </c>
    </row>
    <row r="3">
      <c r="A3" s="2" t="inlineStr">
        <is>
          <t>SENSITIVITY: Monthly Ad Views per User</t>
        </is>
      </c>
    </row>
    <row r="4">
      <c r="A4" s="2" t="inlineStr">
        <is>
          <t>Ad Views</t>
        </is>
      </c>
      <c r="B4" s="2" t="inlineStr">
        <is>
          <t>Revenue</t>
        </is>
      </c>
      <c r="C4" s="2" t="inlineStr">
        <is>
          <t>Margin</t>
        </is>
      </c>
      <c r="D4" s="2" t="inlineStr">
        <is>
          <t>Margin %</t>
        </is>
      </c>
      <c r="E4" s="2" t="inlineStr">
        <is>
          <t>User Rewards</t>
        </is>
      </c>
    </row>
    <row r="5">
      <c r="A5" t="n">
        <v>3</v>
      </c>
      <c r="B5" s="22" t="n">
        <v>11500</v>
      </c>
      <c r="C5" s="22" t="n">
        <v>7000</v>
      </c>
      <c r="D5" s="21" t="n">
        <v>0.6086956521739131</v>
      </c>
      <c r="E5" s="19" t="n">
        <v>0.45</v>
      </c>
    </row>
    <row r="6">
      <c r="A6" t="n">
        <v>6</v>
      </c>
      <c r="B6" s="22" t="n">
        <v>19000</v>
      </c>
      <c r="C6" s="22" t="n">
        <v>10000</v>
      </c>
      <c r="D6" s="21" t="n">
        <v>0.5263157894736842</v>
      </c>
      <c r="E6" s="19" t="n">
        <v>0.9</v>
      </c>
    </row>
    <row r="7">
      <c r="A7" t="n">
        <v>9</v>
      </c>
      <c r="B7" s="22" t="n">
        <v>26500</v>
      </c>
      <c r="C7" s="22" t="n">
        <v>13000</v>
      </c>
      <c r="D7" s="21" t="n">
        <v>0.4905660377358491</v>
      </c>
      <c r="E7" s="19" t="n">
        <v>1.35</v>
      </c>
    </row>
    <row r="8">
      <c r="A8" t="n">
        <v>12</v>
      </c>
      <c r="B8" s="22" t="n">
        <v>34000</v>
      </c>
      <c r="C8" s="22" t="n">
        <v>16000</v>
      </c>
      <c r="D8" s="21" t="n">
        <v>0.4705882352941176</v>
      </c>
      <c r="E8" s="19" t="n">
        <v>1.8</v>
      </c>
    </row>
    <row r="9">
      <c r="A9" t="n">
        <v>15</v>
      </c>
      <c r="B9" s="22" t="n">
        <v>41500</v>
      </c>
      <c r="C9" s="22" t="n">
        <v>19000</v>
      </c>
      <c r="D9" s="21" t="n">
        <v>0.4578313253012049</v>
      </c>
      <c r="E9" s="19" t="n">
        <v>2.25</v>
      </c>
    </row>
    <row r="10">
      <c r="A10" t="n">
        <v>18</v>
      </c>
      <c r="B10" s="22" t="n">
        <v>49000</v>
      </c>
      <c r="C10" s="22" t="n">
        <v>22000</v>
      </c>
      <c r="D10" s="21" t="n">
        <v>0.4489795918367347</v>
      </c>
      <c r="E10" s="19" t="n">
        <v>2.7</v>
      </c>
    </row>
    <row r="11">
      <c r="A11" t="n">
        <v>20</v>
      </c>
      <c r="B11" s="22" t="n">
        <v>54000</v>
      </c>
      <c r="C11" s="22" t="n">
        <v>24000</v>
      </c>
      <c r="D11" s="21" t="n">
        <v>0.4444444444444444</v>
      </c>
      <c r="E11" s="19" t="n">
        <v>3</v>
      </c>
    </row>
    <row r="12">
      <c r="A12" t="n">
        <v>25</v>
      </c>
      <c r="B12" s="22" t="n">
        <v>66500</v>
      </c>
      <c r="C12" s="22" t="n">
        <v>29000</v>
      </c>
      <c r="D12" s="21" t="n">
        <v>0.4360902255639098</v>
      </c>
      <c r="E12" s="19" t="n">
        <v>3.75</v>
      </c>
    </row>
    <row r="15">
      <c r="A15" s="2" t="inlineStr">
        <is>
          <t>SENSITIVITY: Bag Retail Price</t>
        </is>
      </c>
    </row>
    <row r="16">
      <c r="A16" s="2" t="inlineStr">
        <is>
          <t>Bag Price</t>
        </is>
      </c>
      <c r="B16" s="2" t="inlineStr">
        <is>
          <t>Revenue</t>
        </is>
      </c>
      <c r="C16" s="2" t="inlineStr">
        <is>
          <t>Margin</t>
        </is>
      </c>
      <c r="D16" s="2" t="inlineStr">
        <is>
          <t>Margin %</t>
        </is>
      </c>
      <c r="E16" s="2" t="inlineStr">
        <is>
          <t>User Net Cost</t>
        </is>
      </c>
    </row>
    <row r="17">
      <c r="A17" s="19" t="n">
        <v>0.25</v>
      </c>
      <c r="B17" s="22" t="n">
        <v>32500</v>
      </c>
      <c r="C17" s="22" t="n">
        <v>14500</v>
      </c>
      <c r="D17" s="21" t="n">
        <v>0.4461538461538462</v>
      </c>
      <c r="E17" s="19" t="n">
        <v>-0.2000000000000001</v>
      </c>
    </row>
    <row r="18">
      <c r="A18" s="19" t="n">
        <v>0.3</v>
      </c>
      <c r="B18" s="22" t="n">
        <v>33000</v>
      </c>
      <c r="C18" s="22" t="n">
        <v>15000</v>
      </c>
      <c r="D18" s="21" t="n">
        <v>0.4545454545454545</v>
      </c>
      <c r="E18" s="19" t="n">
        <v>-0.1500000000000001</v>
      </c>
    </row>
    <row r="19">
      <c r="A19" s="19" t="n">
        <v>0.35</v>
      </c>
      <c r="B19" s="22" t="n">
        <v>33500</v>
      </c>
      <c r="C19" s="22" t="n">
        <v>15500</v>
      </c>
      <c r="D19" s="21" t="n">
        <v>0.4626865671641791</v>
      </c>
      <c r="E19" s="19" t="n">
        <v>-0.1000000000000001</v>
      </c>
    </row>
    <row r="20">
      <c r="A20" s="19" t="n">
        <v>0.4</v>
      </c>
      <c r="B20" s="22" t="n">
        <v>34000</v>
      </c>
      <c r="C20" s="22" t="n">
        <v>16000</v>
      </c>
      <c r="D20" s="21" t="n">
        <v>0.4705882352941176</v>
      </c>
      <c r="E20" s="19" t="n">
        <v>-0.05000000000000004</v>
      </c>
    </row>
    <row r="21">
      <c r="A21" s="19" t="n">
        <v>0.45</v>
      </c>
      <c r="B21" s="22" t="n">
        <v>34500</v>
      </c>
      <c r="C21" s="22" t="n">
        <v>16500</v>
      </c>
      <c r="D21" s="21" t="n">
        <v>0.4782608695652174</v>
      </c>
      <c r="E21" s="19" t="n">
        <v>-5.551115123125783e-17</v>
      </c>
    </row>
    <row r="22">
      <c r="A22" s="19" t="n">
        <v>0.5</v>
      </c>
      <c r="B22" s="22" t="n">
        <v>35000</v>
      </c>
      <c r="C22" s="22" t="n">
        <v>17000</v>
      </c>
      <c r="D22" s="21" t="n">
        <v>0.4857142857142857</v>
      </c>
      <c r="E22" s="19" t="n">
        <v>0.04999999999999993</v>
      </c>
    </row>
    <row r="23">
      <c r="A23" s="19" t="n">
        <v>0.6</v>
      </c>
      <c r="B23" s="22" t="n">
        <v>36000</v>
      </c>
      <c r="C23" s="22" t="n">
        <v>18000</v>
      </c>
      <c r="D23" s="21" t="n">
        <v>0.5</v>
      </c>
      <c r="E23" s="19" t="n">
        <v>0.1499999999999999</v>
      </c>
    </row>
    <row r="24">
      <c r="A24" s="19" t="n">
        <v>0.75</v>
      </c>
      <c r="B24" s="22" t="n">
        <v>37500</v>
      </c>
      <c r="C24" s="22" t="n">
        <v>19500</v>
      </c>
      <c r="D24" s="21" t="n">
        <v>0.52</v>
      </c>
      <c r="E24" s="19" t="n">
        <v>0.2999999999999999</v>
      </c>
    </row>
    <row r="27">
      <c r="A27" s="2" t="inlineStr">
        <is>
          <t>SENSITIVITY: Monthly Volume (Bags Sold)</t>
        </is>
      </c>
    </row>
    <row r="28">
      <c r="A28" s="2" t="inlineStr">
        <is>
          <t>Bags Sold</t>
        </is>
      </c>
      <c r="B28" s="2" t="inlineStr">
        <is>
          <t>Revenue</t>
        </is>
      </c>
      <c r="C28" s="2" t="inlineStr">
        <is>
          <t>Margin</t>
        </is>
      </c>
      <c r="D28" s="2" t="inlineStr">
        <is>
          <t>Margin %</t>
        </is>
      </c>
      <c r="E28" s="2" t="inlineStr">
        <is>
          <t>Store Value</t>
        </is>
      </c>
    </row>
    <row r="29">
      <c r="A29" s="14" t="n">
        <v>5000</v>
      </c>
      <c r="B29" s="22" t="n">
        <v>17000</v>
      </c>
      <c r="C29" s="22" t="n">
        <v>8000</v>
      </c>
      <c r="D29" s="21" t="n">
        <v>0.4705882352941176</v>
      </c>
      <c r="E29" s="22" t="n">
        <v>14250</v>
      </c>
    </row>
    <row r="30">
      <c r="A30" s="14" t="n">
        <v>7500</v>
      </c>
      <c r="B30" s="22" t="n">
        <v>25500</v>
      </c>
      <c r="C30" s="22" t="n">
        <v>12000</v>
      </c>
      <c r="D30" s="21" t="n">
        <v>0.4705882352941176</v>
      </c>
      <c r="E30" s="22" t="n">
        <v>21375</v>
      </c>
    </row>
    <row r="31">
      <c r="A31" s="14" t="n">
        <v>10000</v>
      </c>
      <c r="B31" s="22" t="n">
        <v>34000</v>
      </c>
      <c r="C31" s="22" t="n">
        <v>16000</v>
      </c>
      <c r="D31" s="21" t="n">
        <v>0.4705882352941176</v>
      </c>
      <c r="E31" s="22" t="n">
        <v>28500</v>
      </c>
    </row>
    <row r="32">
      <c r="A32" s="14" t="n">
        <v>15000</v>
      </c>
      <c r="B32" s="22" t="n">
        <v>51000</v>
      </c>
      <c r="C32" s="22" t="n">
        <v>24000</v>
      </c>
      <c r="D32" s="21" t="n">
        <v>0.4705882352941176</v>
      </c>
      <c r="E32" s="22" t="n">
        <v>42750</v>
      </c>
    </row>
    <row r="33">
      <c r="A33" s="14" t="n">
        <v>20000</v>
      </c>
      <c r="B33" s="22" t="n">
        <v>68000</v>
      </c>
      <c r="C33" s="22" t="n">
        <v>32000</v>
      </c>
      <c r="D33" s="21" t="n">
        <v>0.4705882352941176</v>
      </c>
      <c r="E33" s="22" t="n">
        <v>57000</v>
      </c>
    </row>
    <row r="34">
      <c r="A34" s="14" t="n">
        <v>25000</v>
      </c>
      <c r="B34" s="22" t="n">
        <v>85000</v>
      </c>
      <c r="C34" s="22" t="n">
        <v>40000</v>
      </c>
      <c r="D34" s="21" t="n">
        <v>0.4705882352941176</v>
      </c>
      <c r="E34" s="22" t="n">
        <v>71250.00000000006</v>
      </c>
    </row>
    <row r="35">
      <c r="A35" s="14" t="n">
        <v>50000</v>
      </c>
      <c r="B35" s="22" t="n">
        <v>170000</v>
      </c>
      <c r="C35" s="22" t="n">
        <v>80000</v>
      </c>
      <c r="D35" s="21" t="n">
        <v>0.4705882352941176</v>
      </c>
      <c r="E35" s="22" t="n">
        <v>142500.0000000001</v>
      </c>
    </row>
  </sheetData>
  <mergeCells count="4">
    <mergeCell ref="A3:F3"/>
    <mergeCell ref="A27:F27"/>
    <mergeCell ref="A1:F1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2025-11-10T02:51:58Z</dcterms:created>
  <dcterms:modified xsi:type="dcterms:W3CDTF">2025-11-10T02:51:58Z</dcterms:modified>
</cp:coreProperties>
</file>