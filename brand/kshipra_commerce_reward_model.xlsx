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ssumptions" sheetId="2" state="visible" r:id="rId2"/>
    <sheet name="Calculations" sheetId="3" state="visible" r:id="rId3"/>
    <sheet name="Scenarios" sheetId="4" state="visible" r:id="rId4"/>
    <sheet name="Investor Metrics" sheetId="5" state="visible" r:id="rId5"/>
    <sheet name="Sensitivity Analysis" sheetId="6" state="visible" r:id="rId6"/>
    <sheet name="Visual Comparisons" sheetId="7" state="visible" r:id="rId7"/>
    <sheet name="References &amp; Data 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0.00"/>
    <numFmt numFmtId="165" formatCode="$#,##0.00"/>
    <numFmt numFmtId="166" formatCode="0.0%"/>
    <numFmt numFmtId="167" formatCode="$#,##0"/>
    <numFmt numFmtId="168" formatCode="0.0&quot;x&quot;"/>
    <numFmt numFmtId="169" formatCode="0.0&quot; months&quot;"/>
    <numFmt numFmtId="170" formatCode="0.0&quot; mo&quot;"/>
  </numFmts>
  <fonts count="1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</font>
    <font>
      <b val="1"/>
      <color rgb="0000AA00"/>
    </font>
    <font>
      <b val="1"/>
      <color rgb="00FF6600"/>
    </font>
    <font>
      <b val="1"/>
      <color rgb="004472C4"/>
    </font>
    <font>
      <b val="1"/>
      <color rgb="0000AA00"/>
      <sz val="11"/>
    </font>
    <font>
      <b val="1"/>
      <color rgb="0000AA00"/>
      <sz val="12"/>
    </font>
    <font>
      <b val="1"/>
      <color rgb="00FFFFFF"/>
      <sz val="14"/>
    </font>
    <font>
      <b val="1"/>
      <sz val="12"/>
    </font>
    <font>
      <i val="1"/>
      <color rgb="00666666"/>
    </font>
    <font>
      <b val="1"/>
      <sz val="11"/>
    </font>
    <font>
      <i val="1"/>
      <color rgb="00666666"/>
      <sz val="9"/>
    </font>
    <font>
      <color rgb="000563C1"/>
      <u val="single"/>
    </font>
    <font>
      <sz val="9"/>
    </font>
  </fonts>
  <fills count="6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9" fillId="2" borderId="0" pivotButton="0" quotePrefix="0" xfId="0"/>
    <xf numFmtId="0" fontId="2" fillId="3" borderId="0" pivotButton="0" quotePrefix="0" xfId="0"/>
    <xf numFmtId="167" fontId="10" fillId="0" borderId="0" pivotButton="0" quotePrefix="0" xfId="0"/>
    <xf numFmtId="167" fontId="8" fillId="0" borderId="0" pivotButton="0" quotePrefix="0" xfId="0"/>
    <xf numFmtId="166" fontId="10" fillId="0" borderId="0" pivotButton="0" quotePrefix="0" xfId="0"/>
    <xf numFmtId="164" fontId="10" fillId="0" borderId="0" pivotButton="0" quotePrefix="0" xfId="0"/>
    <xf numFmtId="0" fontId="11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3" fillId="4" borderId="0" pivotButton="0" quotePrefix="0" xfId="0"/>
    <xf numFmtId="3" fontId="3" fillId="4" borderId="0" pivotButton="0" quotePrefix="0" xfId="0"/>
    <xf numFmtId="0" fontId="3" fillId="4" borderId="0" pivotButton="0" quotePrefix="0" xfId="0"/>
    <xf numFmtId="1" fontId="3" fillId="4" borderId="0" pivotButton="0" quotePrefix="0" xfId="0"/>
    <xf numFmtId="0" fontId="1" fillId="5" borderId="0" applyAlignment="1" pivotButton="0" quotePrefix="0" xfId="0">
      <alignment horizontal="left" vertical="center"/>
    </xf>
    <xf numFmtId="3" fontId="0" fillId="0" borderId="0" pivotButton="0" quotePrefix="0" xfId="0"/>
    <xf numFmtId="165" fontId="0" fillId="0" borderId="0" pivotButton="0" quotePrefix="0" xfId="0"/>
    <xf numFmtId="165" fontId="3" fillId="0" borderId="0" pivotButton="0" quotePrefix="0" xfId="0"/>
    <xf numFmtId="165" fontId="4" fillId="0" borderId="0" pivotButton="0" quotePrefix="0" xfId="0"/>
    <xf numFmtId="166" fontId="3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6" fontId="0" fillId="0" borderId="0" pivotButton="0" quotePrefix="0" xfId="0"/>
    <xf numFmtId="0" fontId="7" fillId="0" borderId="0" pivotButton="0" quotePrefix="0" xfId="0"/>
    <xf numFmtId="166" fontId="8" fillId="0" borderId="0" pivotButton="0" quotePrefix="0" xfId="0"/>
    <xf numFmtId="0" fontId="4" fillId="0" borderId="0" pivotButton="0" quotePrefix="0" xfId="0"/>
    <xf numFmtId="167" fontId="0" fillId="0" borderId="0" pivotButton="0" quotePrefix="0" xfId="0"/>
    <xf numFmtId="168" fontId="12" fillId="0" borderId="0" pivotButton="0" quotePrefix="0" xfId="0"/>
    <xf numFmtId="169" fontId="12" fillId="0" borderId="0" pivotButton="0" quotePrefix="0" xfId="0"/>
    <xf numFmtId="167" fontId="4" fillId="0" borderId="0" pivotButton="0" quotePrefix="0" xfId="0"/>
    <xf numFmtId="0" fontId="12" fillId="0" borderId="0" pivotButton="0" quotePrefix="0" xfId="0"/>
    <xf numFmtId="164" fontId="4" fillId="0" borderId="0" pivotButton="0" quotePrefix="0" xfId="0"/>
    <xf numFmtId="168" fontId="0" fillId="0" borderId="0" pivotButton="0" quotePrefix="0" xfId="0"/>
    <xf numFmtId="170" fontId="0" fillId="0" borderId="0" pivotButton="0" quotePrefix="0" xfId="0"/>
    <xf numFmtId="0" fontId="3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per Engagement: Kshipra Saves 80%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 Comparisons'!C4</f>
            </strRef>
          </tx>
          <spPr>
            <a:ln>
              <a:prstDash val="solid"/>
            </a:ln>
          </spPr>
          <cat>
            <numRef>
              <f>'Visual Comparisons'!$A$5:$A$6</f>
            </numRef>
          </cat>
          <val>
            <numRef>
              <f>'Visual Comparisons'!$C$5:$C$6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Platform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User Gets Bags for FREE (or Even EARNS Money!)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 Comparisons'!B20</f>
            </strRef>
          </tx>
          <spPr>
            <a:ln>
              <a:prstDash val="solid"/>
            </a:ln>
          </spPr>
          <cat>
            <numRef>
              <f>'Visual Comparisons'!$A$21:$A$24</f>
            </numRef>
          </cat>
          <val>
            <numRef>
              <f>'Visual Comparisons'!$B$21:$B$24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Components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Store Traffic Value Created</a:t>
            </a:r>
          </a:p>
        </rich>
      </tx>
    </title>
    <plotArea>
      <pieChart>
        <varyColors val="1"/>
        <ser>
          <idx val="0"/>
          <order val="0"/>
          <tx>
            <strRef>
              <f>'Visual Comparisons'!B44</f>
            </strRef>
          </tx>
          <spPr>
            <a:ln>
              <a:prstDash val="solid"/>
            </a:ln>
          </spPr>
          <cat>
            <numRef>
              <f>'Visual Comparisons'!$A$45:$A$47</f>
            </numRef>
          </cat>
          <val>
            <numRef>
              <f>'Visual Comparisons'!$B$45:$B$47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43</row>
      <rowOff>0</rowOff>
    </from>
    <ext cx="540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5" customWidth="1" min="3" max="3"/>
    <col width="15" customWidth="1" min="4" max="4"/>
  </cols>
  <sheetData>
    <row r="1">
      <c r="A1" s="1" t="inlineStr">
        <is>
          <t>KSHIPRA COMMERCE-REWARD MODEL DASHBOARD</t>
        </is>
      </c>
    </row>
    <row r="3">
      <c r="A3" s="2" t="inlineStr">
        <is>
          <t>KEY METRICS</t>
        </is>
      </c>
    </row>
    <row r="4">
      <c r="A4" t="inlineStr">
        <is>
          <t>Monthly Revenue:</t>
        </is>
      </c>
      <c r="B4" s="3">
        <f>Calculations!B9</f>
        <v/>
      </c>
      <c r="C4" t="inlineStr">
        <is>
          <t>Total income (bags + ads)</t>
        </is>
      </c>
    </row>
    <row r="5">
      <c r="A5" t="inlineStr">
        <is>
          <t>Monthly Margin:</t>
        </is>
      </c>
      <c r="B5" s="4">
        <f>Calculations!B14</f>
        <v/>
      </c>
      <c r="C5" t="inlineStr">
        <is>
          <t>Final profit after all costs</t>
        </is>
      </c>
    </row>
    <row r="6">
      <c r="A6" t="inlineStr">
        <is>
          <t>Margin %:</t>
        </is>
      </c>
      <c r="B6" s="5">
        <f>Calculations!B14/Calculations!B9</f>
        <v/>
      </c>
      <c r="C6" t="inlineStr">
        <is>
          <t>Profitability ratio</t>
        </is>
      </c>
    </row>
    <row r="8">
      <c r="A8" t="inlineStr">
        <is>
          <t>User Net Bag Cost:</t>
        </is>
      </c>
      <c r="B8" s="6">
        <f>Calculations!B28</f>
        <v/>
      </c>
      <c r="C8" t="inlineStr">
        <is>
          <t>Negative = FREE bags!</t>
        </is>
      </c>
    </row>
    <row r="10">
      <c r="A10" s="7" t="inlineStr">
        <is>
          <t>📝 Edit assumptions in the 'Assumptions' sheet (yellow cells)</t>
        </is>
      </c>
    </row>
  </sheetData>
  <mergeCells count="3">
    <mergeCell ref="A1:D1"/>
    <mergeCell ref="A3:D3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8" customWidth="1" min="3" max="3"/>
    <col width="55" customWidth="1" min="4" max="4"/>
  </cols>
  <sheetData>
    <row r="1">
      <c r="A1" s="8" t="inlineStr">
        <is>
          <t>KSHIPRA COMMERCE-REWARD MODEL - ASSUMPTIONS</t>
        </is>
      </c>
    </row>
    <row r="3">
      <c r="A3" s="2" t="inlineStr">
        <is>
          <t>PRICING &amp; VOLUME</t>
        </is>
      </c>
    </row>
    <row r="4">
      <c r="A4" t="inlineStr">
        <is>
          <t>Bag Retail Price</t>
        </is>
      </c>
      <c r="B4" s="9" t="n">
        <v>0.4</v>
      </c>
      <c r="C4" t="inlineStr">
        <is>
          <t>$</t>
        </is>
      </c>
      <c r="D4" t="inlineStr">
        <is>
          <t>What users pay upfront for each bag</t>
        </is>
      </c>
    </row>
    <row r="5">
      <c r="A5" t="inlineStr">
        <is>
          <t>Bags Sold per Month</t>
        </is>
      </c>
      <c r="B5" s="10" t="n">
        <v>10000</v>
      </c>
      <c r="C5" t="inlineStr">
        <is>
          <t>bags</t>
        </is>
      </c>
      <c r="D5" t="inlineStr">
        <is>
          <t>Monthly volume - scale this to model growth</t>
        </is>
      </c>
    </row>
    <row r="7">
      <c r="A7" s="2" t="inlineStr">
        <is>
          <t>AD ECONOMICS</t>
        </is>
      </c>
    </row>
    <row r="8">
      <c r="A8" t="inlineStr">
        <is>
          <t>CPV - Brand Pays per View</t>
        </is>
      </c>
      <c r="B8" s="9" t="n">
        <v>0.2</v>
      </c>
      <c r="C8" t="inlineStr">
        <is>
          <t>$</t>
        </is>
      </c>
      <c r="D8" t="inlineStr">
        <is>
          <t>Revenue per verified ad view (100% engagement)</t>
        </is>
      </c>
    </row>
    <row r="9">
      <c r="A9" t="inlineStr">
        <is>
          <t>Cash Credit per View</t>
        </is>
      </c>
      <c r="B9" s="9" t="n">
        <v>0.06</v>
      </c>
      <c r="C9" t="inlineStr">
        <is>
          <t>$</t>
        </is>
      </c>
      <c r="D9" t="inlineStr">
        <is>
          <t>Instant cash reward to user (goes to wallet)</t>
        </is>
      </c>
    </row>
    <row r="10">
      <c r="A10" t="inlineStr">
        <is>
          <t>Reward Points per View</t>
        </is>
      </c>
      <c r="B10" s="9" t="n">
        <v>0.06</v>
      </c>
      <c r="C10" t="inlineStr">
        <is>
          <t>$</t>
        </is>
      </c>
      <c r="D10" t="inlineStr">
        <is>
          <t>Store credit reward (redeemable at partner stores)</t>
        </is>
      </c>
    </row>
    <row r="11">
      <c r="A11" t="inlineStr">
        <is>
          <t>Kshipra Margin per View</t>
        </is>
      </c>
      <c r="B11" s="9" t="n">
        <v>0.08</v>
      </c>
      <c r="C11" t="inlineStr">
        <is>
          <t>$</t>
        </is>
      </c>
      <c r="D11" t="inlineStr">
        <is>
          <t>Our profit per ad = CPV - Cash - Rewards</t>
        </is>
      </c>
    </row>
    <row r="13">
      <c r="A13" s="2" t="inlineStr">
        <is>
          <t>USER ENGAGEMENT</t>
        </is>
      </c>
    </row>
    <row r="14">
      <c r="A14" t="inlineStr">
        <is>
          <t>Active User Rate</t>
        </is>
      </c>
      <c r="B14" s="11" t="n">
        <v>60</v>
      </c>
      <c r="C14" t="inlineStr">
        <is>
          <t>%</t>
        </is>
      </c>
      <c r="D14" t="inlineStr">
        <is>
          <t>% of buyers who actually watch ads to earn rewards</t>
        </is>
      </c>
    </row>
    <row r="16">
      <c r="A16" s="2" t="inlineStr">
        <is>
          <t>USER BEHAVIOR</t>
        </is>
      </c>
    </row>
    <row r="17">
      <c r="A17" t="inlineStr">
        <is>
          <t>Avg Ads to Recover Bag Cost</t>
        </is>
      </c>
      <c r="B17" s="12" t="n">
        <v>3</v>
      </c>
      <c r="C17" t="inlineStr">
        <is>
          <t>ads</t>
        </is>
      </c>
      <c r="D17" t="inlineStr">
        <is>
          <t>How many ads needed to make bag FREE</t>
        </is>
      </c>
    </row>
    <row r="18">
      <c r="A18" t="inlineStr">
        <is>
          <t>Avg Monthly Ad Views per User</t>
        </is>
      </c>
      <c r="B18" s="12" t="n">
        <v>12</v>
      </c>
      <c r="C18" t="inlineStr">
        <is>
          <t>views</t>
        </is>
      </c>
      <c r="D18" t="inlineStr">
        <is>
          <t>Engagement level: ads watched per active user/month</t>
        </is>
      </c>
    </row>
    <row r="20">
      <c r="A20" s="2" t="inlineStr">
        <is>
          <t>TIER CASH CREDIT LIMITS</t>
        </is>
      </c>
    </row>
    <row r="21">
      <c r="A21" t="inlineStr">
        <is>
          <t>Bronze - Bag Values/Month</t>
        </is>
      </c>
      <c r="B21" s="11" t="n">
        <v>1</v>
      </c>
      <c r="D21" t="inlineStr">
        <is>
          <t>Low-engagement: 1 bag purchase/month</t>
        </is>
      </c>
    </row>
    <row r="22">
      <c r="A22" t="inlineStr">
        <is>
          <t>Silver - Bag Values/Month</t>
        </is>
      </c>
      <c r="B22" s="11" t="n">
        <v>3</v>
      </c>
      <c r="D22" t="inlineStr">
        <is>
          <t>Medium-engagement: 3 bags/month</t>
        </is>
      </c>
    </row>
    <row r="23">
      <c r="A23" t="inlineStr">
        <is>
          <t>Gold - Bag Values/Month</t>
        </is>
      </c>
      <c r="B23" s="11" t="n">
        <v>7</v>
      </c>
      <c r="D23" t="inlineStr">
        <is>
          <t>High-engagement: 7 bags/month</t>
        </is>
      </c>
    </row>
    <row r="24">
      <c r="A24" t="inlineStr">
        <is>
          <t>Platinum - Daily Cap ($)</t>
        </is>
      </c>
      <c r="B24" s="9" t="n">
        <v>1</v>
      </c>
      <c r="D24" t="inlineStr">
        <is>
          <t>Super users: $1/day earning limit</t>
        </is>
      </c>
    </row>
    <row r="26">
      <c r="A26" s="2" t="inlineStr">
        <is>
          <t>USER DISTRIBUTION BY TIER (%)</t>
        </is>
      </c>
    </row>
    <row r="27">
      <c r="A27" t="inlineStr">
        <is>
          <t>Bronze %</t>
        </is>
      </c>
      <c r="B27" s="11" t="n">
        <v>60</v>
      </c>
      <c r="C27" t="inlineStr">
        <is>
          <t>%</t>
        </is>
      </c>
      <c r="D27" t="inlineStr">
        <is>
          <t>Most users are casual shoppers</t>
        </is>
      </c>
    </row>
    <row r="28">
      <c r="A28" t="inlineStr">
        <is>
          <t>Silver %</t>
        </is>
      </c>
      <c r="B28" s="11" t="n">
        <v>25</v>
      </c>
      <c r="C28" t="inlineStr">
        <is>
          <t>%</t>
        </is>
      </c>
      <c r="D28" t="inlineStr">
        <is>
          <t>Regular shoppers</t>
        </is>
      </c>
    </row>
    <row r="29">
      <c r="A29" t="inlineStr">
        <is>
          <t>Gold %</t>
        </is>
      </c>
      <c r="B29" s="11" t="n">
        <v>12</v>
      </c>
      <c r="C29" t="inlineStr">
        <is>
          <t>%</t>
        </is>
      </c>
      <c r="D29" t="inlineStr">
        <is>
          <t>Frequent shoppers</t>
        </is>
      </c>
    </row>
    <row r="30">
      <c r="A30" t="inlineStr">
        <is>
          <t>Platinum %</t>
        </is>
      </c>
      <c r="B30" s="11" t="n">
        <v>3</v>
      </c>
      <c r="C30" t="inlineStr">
        <is>
          <t>%</t>
        </is>
      </c>
      <c r="D30" t="inlineStr">
        <is>
          <t>Power users (heavy engagement)</t>
        </is>
      </c>
    </row>
    <row r="32">
      <c r="A32" s="2" t="inlineStr">
        <is>
          <t>STORE &amp; REDEMPTION METRICS</t>
        </is>
      </c>
    </row>
    <row r="33">
      <c r="A33" t="inlineStr">
        <is>
          <t>Reward Redemption Rate</t>
        </is>
      </c>
      <c r="B33" s="11" t="n">
        <v>75</v>
      </c>
      <c r="C33" t="inlineStr">
        <is>
          <t>%</t>
        </is>
      </c>
      <c r="D33" t="inlineStr">
        <is>
          <t>% of users who redeem rewards at stores</t>
        </is>
      </c>
    </row>
    <row r="34">
      <c r="A34" t="inlineStr">
        <is>
          <t>Repeat Visit Increase</t>
        </is>
      </c>
      <c r="B34" s="11" t="n">
        <v>15</v>
      </c>
      <c r="C34" t="inlineStr">
        <is>
          <t>%</t>
        </is>
      </c>
      <c r="D34" t="inlineStr">
        <is>
          <t>Users visit more often to use rewards</t>
        </is>
      </c>
    </row>
    <row r="35">
      <c r="A35" t="inlineStr">
        <is>
          <t>Basket Size Uplift</t>
        </is>
      </c>
      <c r="B35" s="11" t="n">
        <v>8</v>
      </c>
      <c r="C35" t="inlineStr">
        <is>
          <t>%</t>
        </is>
      </c>
      <c r="D35" t="inlineStr">
        <is>
          <t>Users buy more when they have rewards</t>
        </is>
      </c>
    </row>
    <row r="36">
      <c r="A36" t="inlineStr">
        <is>
          <t>Average Basket Value</t>
        </is>
      </c>
      <c r="B36" s="9" t="n">
        <v>25</v>
      </c>
      <c r="C36" t="inlineStr">
        <is>
          <t>$</t>
        </is>
      </c>
      <c r="D36" t="inlineStr">
        <is>
          <t>Typical purchase amount per store visit</t>
        </is>
      </c>
    </row>
    <row r="38">
      <c r="A38" s="2" t="inlineStr">
        <is>
          <t>BRAND BENCHMARKS</t>
        </is>
      </c>
    </row>
    <row r="39">
      <c r="A39" t="inlineStr">
        <is>
          <t>Meta CPM</t>
        </is>
      </c>
      <c r="B39" s="9" t="n">
        <v>10</v>
      </c>
      <c r="C39" t="inlineStr">
        <is>
          <t>$</t>
        </is>
      </c>
      <c r="D39" t="inlineStr">
        <is>
          <t>Facebook/Instagram ad cost per 1000 impressions</t>
        </is>
      </c>
    </row>
    <row r="40">
      <c r="A40" t="inlineStr">
        <is>
          <t>TikTok CPM</t>
        </is>
      </c>
      <c r="B40" s="9" t="n">
        <v>8.5</v>
      </c>
      <c r="C40" t="inlineStr">
        <is>
          <t>$</t>
        </is>
      </c>
      <c r="D40" t="inlineStr">
        <is>
          <t>TikTok ad cost per 1000 impressions</t>
        </is>
      </c>
    </row>
    <row r="41">
      <c r="A41" t="inlineStr">
        <is>
          <t>Industry Avg CTR</t>
        </is>
      </c>
      <c r="B41" s="11" t="n">
        <v>1</v>
      </c>
      <c r="C41" t="inlineStr">
        <is>
          <t>%</t>
        </is>
      </c>
      <c r="D41" t="inlineStr">
        <is>
          <t>Click-through rate on social media ads (only 1% engage!)</t>
        </is>
      </c>
    </row>
  </sheetData>
  <mergeCells count="9">
    <mergeCell ref="A1:D1"/>
    <mergeCell ref="A3:D3"/>
    <mergeCell ref="A20:D20"/>
    <mergeCell ref="A26:D26"/>
    <mergeCell ref="A38:D38"/>
    <mergeCell ref="A7:D7"/>
    <mergeCell ref="A16:D16"/>
    <mergeCell ref="A32:D3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50" customWidth="1" min="3" max="3"/>
  </cols>
  <sheetData>
    <row r="1">
      <c r="A1" s="13" t="inlineStr">
        <is>
          <t>DETAILED CALCULATIONS</t>
        </is>
      </c>
    </row>
    <row r="3">
      <c r="A3" s="2" t="inlineStr">
        <is>
          <t>MONTHLY BUSINESS SUMMARY</t>
        </is>
      </c>
    </row>
    <row r="4">
      <c r="A4" t="inlineStr">
        <is>
          <t>Bags Sold</t>
        </is>
      </c>
      <c r="B4" s="14">
        <f>Assumptions!B5</f>
        <v/>
      </c>
      <c r="C4" t="inlineStr">
        <is>
          <t>Number of bags purchased this month</t>
        </is>
      </c>
    </row>
    <row r="5">
      <c r="A5" t="inlineStr">
        <is>
          <t>Active Users (Watching Ads)</t>
        </is>
      </c>
      <c r="B5" s="14">
        <f>Assumptions!B5*Assumptions!B14/100</f>
        <v/>
      </c>
      <c r="C5" t="inlineStr">
        <is>
          <t>Users who actually engage with ads</t>
        </is>
      </c>
    </row>
    <row r="6">
      <c r="A6" t="inlineStr">
        <is>
          <t>Bag Revenue</t>
        </is>
      </c>
      <c r="B6" s="15">
        <f>Assumptions!B5*Assumptions!B4</f>
        <v/>
      </c>
      <c r="C6" t="inlineStr">
        <is>
          <t>Income from selling bags to users</t>
        </is>
      </c>
    </row>
    <row r="7">
      <c r="A7" t="inlineStr">
        <is>
          <t>Total Ad Views</t>
        </is>
      </c>
      <c r="B7" s="14">
        <f>B5*Assumptions!B18</f>
        <v/>
      </c>
      <c r="C7" t="inlineStr">
        <is>
          <t>Total verified ad impressions delivered (only active users)</t>
        </is>
      </c>
    </row>
    <row r="8">
      <c r="A8" t="inlineStr">
        <is>
          <t>Ad Revenue (Brand Spend)</t>
        </is>
      </c>
      <c r="B8" s="15">
        <f>B7*Assumptions!B8</f>
        <v/>
      </c>
      <c r="C8" t="inlineStr">
        <is>
          <t>What brands pay for all ad views</t>
        </is>
      </c>
    </row>
    <row r="9">
      <c r="A9" t="inlineStr">
        <is>
          <t>Total Revenue</t>
        </is>
      </c>
      <c r="B9" s="16">
        <f>B6+B8</f>
        <v/>
      </c>
      <c r="C9" t="inlineStr">
        <is>
          <t>Combined income from bags + ads</t>
        </is>
      </c>
    </row>
    <row r="11">
      <c r="A11" t="inlineStr">
        <is>
          <t>Total Cash Credits Paid</t>
        </is>
      </c>
      <c r="B11" s="15">
        <f>B7*Assumptions!B9</f>
        <v/>
      </c>
      <c r="C11" t="inlineStr">
        <is>
          <t>Instant cash rewards given to users</t>
        </is>
      </c>
    </row>
    <row r="12">
      <c r="A12" t="inlineStr">
        <is>
          <t>Total Reward Points Issued</t>
        </is>
      </c>
      <c r="B12" s="15">
        <f>B7*Assumptions!B10</f>
        <v/>
      </c>
      <c r="C12" t="inlineStr">
        <is>
          <t>Store credit rewards issued to users</t>
        </is>
      </c>
    </row>
    <row r="13">
      <c r="A13" t="inlineStr">
        <is>
          <t>Gross Margin (from Ads)</t>
        </is>
      </c>
      <c r="B13" s="15">
        <f>B7*Assumptions!B11</f>
        <v/>
      </c>
      <c r="C13" t="inlineStr">
        <is>
          <t>Profit after paying out all rewards</t>
        </is>
      </c>
    </row>
    <row r="14">
      <c r="A14" t="inlineStr">
        <is>
          <t>Total Margin</t>
        </is>
      </c>
      <c r="B14" s="17">
        <f>B6+B13</f>
        <v/>
      </c>
      <c r="C14" t="inlineStr">
        <is>
          <t>Final profit: bag sales + ad margins</t>
        </is>
      </c>
    </row>
    <row r="15">
      <c r="A15" t="inlineStr">
        <is>
          <t>Margin %</t>
        </is>
      </c>
      <c r="B15" s="18">
        <f>B14/B9</f>
        <v/>
      </c>
      <c r="C15" t="inlineStr">
        <is>
          <t>Profit as percentage of revenue</t>
        </is>
      </c>
    </row>
    <row r="17">
      <c r="A17" s="2" t="inlineStr">
        <is>
          <t>PER USER METRICS</t>
        </is>
      </c>
    </row>
    <row r="18">
      <c r="A18" t="inlineStr">
        <is>
          <t>Monthly Ad Views</t>
        </is>
      </c>
      <c r="B18">
        <f>Assumptions!B18</f>
        <v/>
      </c>
      <c r="C18" t="inlineStr">
        <is>
          <t>How many ads each user watches per month</t>
        </is>
      </c>
    </row>
    <row r="19">
      <c r="A19" t="inlineStr">
        <is>
          <t>Brand Spend per User</t>
        </is>
      </c>
      <c r="B19" s="19">
        <f>Assumptions!B18*Assumptions!B8</f>
        <v/>
      </c>
      <c r="C19" t="inlineStr">
        <is>
          <t>Total brands pay for this user's ad views</t>
        </is>
      </c>
    </row>
    <row r="20">
      <c r="A20" t="inlineStr">
        <is>
          <t>User Rewards per Month</t>
        </is>
      </c>
      <c r="B20" s="19">
        <f>Assumptions!B18*(Assumptions!B9+Assumptions!B10)</f>
        <v/>
      </c>
      <c r="C20" t="inlineStr">
        <is>
          <t>Cash + reward points user earns monthly</t>
        </is>
      </c>
    </row>
    <row r="21">
      <c r="A21" t="inlineStr">
        <is>
          <t>Kshipra Margin per User</t>
        </is>
      </c>
      <c r="B21" s="19">
        <f>Assumptions!B18*Assumptions!B11</f>
        <v/>
      </c>
      <c r="C21" t="inlineStr">
        <is>
          <t>Our profit per active user per month</t>
        </is>
      </c>
    </row>
    <row r="23">
      <c r="A23" s="2" t="inlineStr">
        <is>
          <t>PER BAG METRICS</t>
        </is>
      </c>
    </row>
    <row r="24">
      <c r="A24" t="inlineStr">
        <is>
          <t>Bag Retail Revenue</t>
        </is>
      </c>
      <c r="B24" s="19">
        <f>Assumptions!B4</f>
        <v/>
      </c>
      <c r="C24" t="inlineStr">
        <is>
          <t>What users pay for each bag</t>
        </is>
      </c>
    </row>
    <row r="25">
      <c r="A25" t="inlineStr">
        <is>
          <t>Ad Views per Bag</t>
        </is>
      </c>
      <c r="B25">
        <f>Assumptions!B17</f>
        <v/>
      </c>
      <c r="C25" t="inlineStr">
        <is>
          <t>Ads needed to watch to recover bag cost</t>
        </is>
      </c>
    </row>
    <row r="26">
      <c r="A26" t="inlineStr">
        <is>
          <t>Brand Revenue per Bag</t>
        </is>
      </c>
      <c r="B26" s="19">
        <f>Assumptions!B17*Assumptions!B8</f>
        <v/>
      </c>
      <c r="C26" t="inlineStr">
        <is>
          <t>What brands pay for ads on one bag</t>
        </is>
      </c>
    </row>
    <row r="27">
      <c r="A27" t="inlineStr">
        <is>
          <t>User Earnings per Bag</t>
        </is>
      </c>
      <c r="B27" s="19">
        <f>Assumptions!B17*(Assumptions!B9+Assumptions!B10)</f>
        <v/>
      </c>
      <c r="C27" t="inlineStr">
        <is>
          <t>Rewards user gets from watching ads</t>
        </is>
      </c>
    </row>
    <row r="28">
      <c r="A28" t="inlineStr">
        <is>
          <t>User Net Cost</t>
        </is>
      </c>
      <c r="B28" s="20">
        <f>Assumptions!B4-B27</f>
        <v/>
      </c>
      <c r="C28" t="inlineStr">
        <is>
          <t>Final cost after earning rewards (FREE if negative!)</t>
        </is>
      </c>
    </row>
    <row r="30">
      <c r="A30" s="2" t="inlineStr">
        <is>
          <t>STORE VALUE METRICS</t>
        </is>
      </c>
    </row>
    <row r="31">
      <c r="A31" t="inlineStr">
        <is>
          <t>Total Rewards Generated</t>
        </is>
      </c>
      <c r="B31" s="15">
        <f>B7*(Assumptions!B9+Assumptions!B10)</f>
        <v/>
      </c>
      <c r="C31" t="inlineStr">
        <is>
          <t>All rewards earned by users this month</t>
        </is>
      </c>
    </row>
    <row r="32">
      <c r="A32" t="inlineStr">
        <is>
          <t>Reward Redemption Value</t>
        </is>
      </c>
      <c r="B32" s="15">
        <f>B31*Assumptions!B33/100</f>
        <v/>
      </c>
      <c r="C32" t="inlineStr">
        <is>
          <t>How much will actually be redeemed at stores</t>
        </is>
      </c>
    </row>
    <row r="33">
      <c r="A33" t="inlineStr">
        <is>
          <t>Estimated Transactions</t>
        </is>
      </c>
      <c r="B33" s="14">
        <f>Assumptions!B5*Assumptions!B33/100</f>
        <v/>
      </c>
      <c r="C33" t="inlineStr">
        <is>
          <t>Number of store visits to redeem rewards</t>
        </is>
      </c>
    </row>
    <row r="34">
      <c r="A34" t="inlineStr">
        <is>
          <t>Baseline Basket Value</t>
        </is>
      </c>
      <c r="B34" s="15">
        <f>B33*Assumptions!B36</f>
        <v/>
      </c>
      <c r="C34" t="inlineStr">
        <is>
          <t>Total sales if customers buy average basket</t>
        </is>
      </c>
    </row>
    <row r="35">
      <c r="A35" t="inlineStr">
        <is>
          <t>Incremental Basket Value</t>
        </is>
      </c>
      <c r="B35" s="15">
        <f>B34*Assumptions!B35/100</f>
        <v/>
      </c>
      <c r="C35" t="inlineStr">
        <is>
          <t>Extra sales from customers buying more</t>
        </is>
      </c>
    </row>
    <row r="37">
      <c r="A37" s="2" t="inlineStr">
        <is>
          <t>BRAND ROI COMPARISON</t>
        </is>
      </c>
    </row>
    <row r="38">
      <c r="A38" s="21" t="inlineStr">
        <is>
          <t>KSHIPRA APPROACH</t>
        </is>
      </c>
    </row>
    <row r="39">
      <c r="A39" t="inlineStr">
        <is>
          <t>BagBuddy CPM</t>
        </is>
      </c>
      <c r="B39" s="19">
        <f>Assumptions!B8*1000</f>
        <v/>
      </c>
      <c r="C39" t="inlineStr">
        <is>
          <t>Cost per 1000 verified ad views (100% engagement)</t>
        </is>
      </c>
    </row>
    <row r="40">
      <c r="A40" t="inlineStr">
        <is>
          <t>BagBuddy Cost per Engagement</t>
        </is>
      </c>
      <c r="B40" s="19">
        <f>Assumptions!B8</f>
        <v/>
      </c>
      <c r="C40" t="inlineStr">
        <is>
          <t>Every view is 100% verified engagement</t>
        </is>
      </c>
    </row>
    <row r="41">
      <c r="A41" t="inlineStr">
        <is>
          <t>Cost per Basket Influenced</t>
        </is>
      </c>
      <c r="B41" s="19">
        <f>B8/B33</f>
        <v/>
      </c>
      <c r="C41" t="inlineStr">
        <is>
          <t>Brand spend per store transaction driven</t>
        </is>
      </c>
    </row>
    <row r="43">
      <c r="A43" s="22" t="inlineStr">
        <is>
          <t>TRADITIONAL SOCIAL MEDIA (Meta/Facebook)</t>
        </is>
      </c>
    </row>
    <row r="44">
      <c r="A44" t="inlineStr">
        <is>
          <t>Meta CPM</t>
        </is>
      </c>
      <c r="B44" s="19">
        <f>Assumptions!B39</f>
        <v/>
      </c>
      <c r="C44" t="inlineStr">
        <is>
          <t>Cost per 1000 impressions (not engagements!)</t>
        </is>
      </c>
    </row>
    <row r="45">
      <c r="A45" t="inlineStr">
        <is>
          <t>Meta CTR</t>
        </is>
      </c>
      <c r="B45" s="23">
        <f>Assumptions!B41</f>
        <v/>
      </c>
      <c r="C45" t="inlineStr">
        <is>
          <t>Only 1% of viewers click/engage</t>
        </is>
      </c>
    </row>
    <row r="46">
      <c r="A46" t="inlineStr">
        <is>
          <t>Meta Cost per Engagement</t>
        </is>
      </c>
      <c r="B46" s="19">
        <f>(Assumptions!B39/1000)/(Assumptions!B41/100)</f>
        <v/>
      </c>
      <c r="C46" t="inlineStr">
        <is>
          <t>True cost accounting for low engagement</t>
        </is>
      </c>
    </row>
    <row r="48">
      <c r="A48" s="24" t="inlineStr">
        <is>
          <t>KSHIPRA VS META SAVINGS</t>
        </is>
      </c>
    </row>
    <row r="49">
      <c r="A49" t="inlineStr">
        <is>
          <t>Cost Savings per Engagement</t>
        </is>
      </c>
      <c r="B49" s="25">
        <f>(B46-B40)/B46</f>
        <v/>
      </c>
      <c r="C49" t="inlineStr">
        <is>
          <t>Brands save this much vs Meta ads</t>
        </is>
      </c>
    </row>
    <row r="50">
      <c r="A50" t="inlineStr">
        <is>
          <t>Engagement Quality</t>
        </is>
      </c>
      <c r="B50" s="26" t="inlineStr">
        <is>
          <t>100% Verified</t>
        </is>
      </c>
      <c r="C50" t="inlineStr">
        <is>
          <t>vs Meta's 1% CTR (99% wasted impressions)</t>
        </is>
      </c>
    </row>
    <row r="51">
      <c r="A51" t="inlineStr">
        <is>
          <t>CPM Difference</t>
        </is>
      </c>
      <c r="B51" s="19">
        <f>B39-B44</f>
        <v/>
      </c>
      <c r="C51" t="inlineStr">
        <is>
          <t>Higher CPM BUT 100% engagement vs 1%</t>
        </is>
      </c>
    </row>
  </sheetData>
  <mergeCells count="9">
    <mergeCell ref="A1:C1"/>
    <mergeCell ref="A23:C23"/>
    <mergeCell ref="A37:C37"/>
    <mergeCell ref="A17:C17"/>
    <mergeCell ref="A3:C3"/>
    <mergeCell ref="A30:C30"/>
    <mergeCell ref="A48:C48"/>
    <mergeCell ref="A43:C43"/>
    <mergeCell ref="A38:C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0" customWidth="1" min="5" max="5"/>
    <col width="45" customWidth="1" min="6" max="6"/>
  </cols>
  <sheetData>
    <row r="1">
      <c r="A1" s="13" t="inlineStr">
        <is>
          <t>SCENARIO COMPARISON</t>
        </is>
      </c>
    </row>
    <row r="3">
      <c r="A3" s="2" t="inlineStr">
        <is>
          <t>Metric</t>
        </is>
      </c>
      <c r="B3" s="2" t="inlineStr">
        <is>
          <t>Worst Case</t>
        </is>
      </c>
      <c r="C3" s="2" t="inlineStr">
        <is>
          <t>Base Case</t>
        </is>
      </c>
      <c r="D3" s="2" t="inlineStr">
        <is>
          <t>Best Case</t>
        </is>
      </c>
      <c r="E3" s="2" t="inlineStr">
        <is>
          <t>Unit</t>
        </is>
      </c>
    </row>
    <row r="4">
      <c r="A4" t="inlineStr">
        <is>
          <t>Monthly Revenue</t>
        </is>
      </c>
      <c r="B4" s="27" t="n">
        <v>11200</v>
      </c>
      <c r="C4" s="27" t="n">
        <v>18400</v>
      </c>
      <c r="D4" s="27" t="n">
        <v>28000</v>
      </c>
      <c r="E4" t="inlineStr">
        <is>
          <t>$</t>
        </is>
      </c>
      <c r="F4" t="inlineStr">
        <is>
          <t>Bags + ad revenue combined</t>
        </is>
      </c>
    </row>
    <row r="5">
      <c r="A5" t="inlineStr">
        <is>
          <t>Monthly Margin</t>
        </is>
      </c>
      <c r="B5" s="27" t="n">
        <v>6880</v>
      </c>
      <c r="C5" s="27" t="n">
        <v>9760</v>
      </c>
      <c r="D5" s="27" t="n">
        <v>13600</v>
      </c>
      <c r="E5" t="inlineStr">
        <is>
          <t>$</t>
        </is>
      </c>
      <c r="F5" t="inlineStr">
        <is>
          <t>Final profit after paying users</t>
        </is>
      </c>
    </row>
    <row r="6">
      <c r="A6" t="inlineStr">
        <is>
          <t>Margin %</t>
        </is>
      </c>
      <c r="B6" s="23" t="n">
        <v>0.6142857142857143</v>
      </c>
      <c r="C6" s="23" t="n">
        <v>0.5304347826086957</v>
      </c>
      <c r="D6" s="23" t="n">
        <v>0.4857142857142857</v>
      </c>
      <c r="E6" t="inlineStr">
        <is>
          <t>%</t>
        </is>
      </c>
      <c r="F6" t="inlineStr">
        <is>
          <t>Profit as % of revenue</t>
        </is>
      </c>
    </row>
    <row r="7">
      <c r="A7" t="inlineStr">
        <is>
          <t>Total Ad Views</t>
        </is>
      </c>
      <c r="B7" s="14" t="n">
        <v>36000</v>
      </c>
      <c r="C7" s="14" t="n">
        <v>72000</v>
      </c>
      <c r="D7" s="14" t="n">
        <v>120000</v>
      </c>
      <c r="E7" t="inlineStr">
        <is>
          <t>views</t>
        </is>
      </c>
      <c r="F7" t="inlineStr">
        <is>
          <t>Verified ad impressions delivered</t>
        </is>
      </c>
    </row>
    <row r="9">
      <c r="A9" t="inlineStr">
        <is>
          <t>Store Value Created</t>
        </is>
      </c>
      <c r="B9" s="27" t="n">
        <v>4410</v>
      </c>
      <c r="C9" s="27" t="n">
        <v>15480.00000000001</v>
      </c>
      <c r="D9" s="27" t="n">
        <v>31365</v>
      </c>
      <c r="E9" t="inlineStr">
        <is>
          <t>$</t>
        </is>
      </c>
      <c r="F9" t="inlineStr">
        <is>
          <t>Traffic driven to partner stores</t>
        </is>
      </c>
    </row>
    <row r="10">
      <c r="A10" t="inlineStr">
        <is>
          <t>Reward Redemptions</t>
        </is>
      </c>
      <c r="B10" s="27" t="n">
        <v>2160</v>
      </c>
      <c r="C10" s="27" t="n">
        <v>6480</v>
      </c>
      <c r="D10" s="27" t="n">
        <v>12240</v>
      </c>
      <c r="E10" t="inlineStr">
        <is>
          <t>$</t>
        </is>
      </c>
      <c r="F10" t="inlineStr">
        <is>
          <t>Value of rewards redeemed</t>
        </is>
      </c>
    </row>
    <row r="12">
      <c r="A12" s="2" t="inlineStr">
        <is>
          <t>KEY ASSUMPTION DIFFERENCES</t>
        </is>
      </c>
    </row>
    <row r="13">
      <c r="A13" t="inlineStr">
        <is>
          <t>Avg Monthly Ad Views/User</t>
        </is>
      </c>
      <c r="B13" t="n">
        <v>6</v>
      </c>
      <c r="C13" t="n">
        <v>12</v>
      </c>
      <c r="D13" t="n">
        <v>20</v>
      </c>
      <c r="F13" t="inlineStr">
        <is>
          <t>User engagement level</t>
        </is>
      </c>
    </row>
    <row r="14">
      <c r="A14" t="inlineStr">
        <is>
          <t>Platinum Users %</t>
        </is>
      </c>
      <c r="B14" t="n">
        <v>1</v>
      </c>
      <c r="C14" t="n">
        <v>3</v>
      </c>
      <c r="D14" t="n">
        <v>8</v>
      </c>
      <c r="E14" t="inlineStr">
        <is>
          <t>%</t>
        </is>
      </c>
      <c r="F14" t="inlineStr">
        <is>
          <t>Power user distribution</t>
        </is>
      </c>
    </row>
    <row r="15">
      <c r="A15" t="inlineStr">
        <is>
          <t>Redemption Rate %</t>
        </is>
      </c>
      <c r="B15" t="n">
        <v>50</v>
      </c>
      <c r="C15" t="n">
        <v>75</v>
      </c>
      <c r="D15" t="n">
        <v>85</v>
      </c>
      <c r="E15" t="inlineStr">
        <is>
          <t>%</t>
        </is>
      </c>
      <c r="F15" t="inlineStr">
        <is>
          <t>Users visiting stores to redeem</t>
        </is>
      </c>
    </row>
  </sheetData>
  <mergeCells count="2">
    <mergeCell ref="A1:E1"/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50" customWidth="1" min="3" max="3"/>
  </cols>
  <sheetData>
    <row r="1">
      <c r="A1" s="8" t="inlineStr">
        <is>
          <t>INVESTOR METRICS</t>
        </is>
      </c>
    </row>
    <row r="3">
      <c r="A3" s="2" t="inlineStr">
        <is>
          <t>UNIT ECONOMICS</t>
        </is>
      </c>
    </row>
    <row r="4">
      <c r="A4" t="inlineStr">
        <is>
          <t>Customer Acquisition Cost (CAC)</t>
        </is>
      </c>
      <c r="B4" s="9" t="n">
        <v>2</v>
      </c>
      <c r="C4" t="inlineStr">
        <is>
          <t>Cost to acquire one new user (marketing)</t>
        </is>
      </c>
    </row>
    <row r="5">
      <c r="A5" t="inlineStr">
        <is>
          <t>Avg User Lifetime (months)</t>
        </is>
      </c>
      <c r="B5" s="11" t="n">
        <v>12</v>
      </c>
      <c r="C5" t="inlineStr">
        <is>
          <t>How long users stay active</t>
        </is>
      </c>
    </row>
    <row r="7">
      <c r="A7" s="2" t="inlineStr">
        <is>
          <t>LIFETIME VALUE (LTV) CALCULATION</t>
        </is>
      </c>
    </row>
    <row r="8">
      <c r="A8" t="inlineStr">
        <is>
          <t>LTV from Bag Sales</t>
        </is>
      </c>
      <c r="B8" s="19">
        <f>B5*(Assumptions!B4)</f>
        <v/>
      </c>
      <c r="C8" t="inlineStr">
        <is>
          <t>Lifetime * monthly bag revenue</t>
        </is>
      </c>
    </row>
    <row r="9">
      <c r="A9" t="inlineStr">
        <is>
          <t>LTV from Ad Revenue</t>
        </is>
      </c>
      <c r="B9" s="19">
        <f>B5*Assumptions!B18*Assumptions!B11</f>
        <v/>
      </c>
      <c r="C9" t="inlineStr">
        <is>
          <t>Lifetime * monthly ad margin</t>
        </is>
      </c>
    </row>
    <row r="10">
      <c r="A10" t="inlineStr">
        <is>
          <t>Total LTV</t>
        </is>
      </c>
      <c r="B10" s="6">
        <f>B8+B9</f>
        <v/>
      </c>
      <c r="C10" t="inlineStr">
        <is>
          <t>Total value per user over lifetime</t>
        </is>
      </c>
    </row>
    <row r="12">
      <c r="A12" s="2" t="inlineStr">
        <is>
          <t>KEY RATIOS</t>
        </is>
      </c>
    </row>
    <row r="13">
      <c r="A13" t="inlineStr">
        <is>
          <t>LTV:CAC Ratio</t>
        </is>
      </c>
      <c r="B13" s="28">
        <f>B10/B4</f>
        <v/>
      </c>
      <c r="C13" t="inlineStr">
        <is>
          <t>&gt;3x = Good, &gt;5x = Great, &gt;10x = Excellent!</t>
        </is>
      </c>
    </row>
    <row r="14">
      <c r="A14" t="inlineStr">
        <is>
          <t>Monthly Contribution Margin</t>
        </is>
      </c>
      <c r="B14" s="19">
        <f>(Assumptions!B4)+(Assumptions!B18*Assumptions!B11)</f>
        <v/>
      </c>
      <c r="C14" t="inlineStr">
        <is>
          <t>Profit per user per month</t>
        </is>
      </c>
    </row>
    <row r="15">
      <c r="A15" t="inlineStr">
        <is>
          <t>Payback Period (months)</t>
        </is>
      </c>
      <c r="B15" s="29">
        <f>B4/B14</f>
        <v/>
      </c>
      <c r="C15" t="inlineStr">
        <is>
          <t>&lt;6 months = Good, &lt;3 months = Great!</t>
        </is>
      </c>
    </row>
    <row r="17">
      <c r="A17" s="2" t="inlineStr">
        <is>
          <t>ANNUAL PROJECTIONS</t>
        </is>
      </c>
    </row>
    <row r="18">
      <c r="A18" t="inlineStr">
        <is>
          <t>Annual Revenue (12 months)</t>
        </is>
      </c>
      <c r="B18" s="27">
        <f>Calculations!B9*12</f>
        <v/>
      </c>
      <c r="C18" t="inlineStr">
        <is>
          <t>Yearly top-line projection</t>
        </is>
      </c>
    </row>
    <row r="19">
      <c r="A19" t="inlineStr">
        <is>
          <t>Annual Margin (12 months)</t>
        </is>
      </c>
      <c r="B19" s="30">
        <f>Calculations!B14*12</f>
        <v/>
      </c>
      <c r="C19" t="inlineStr">
        <is>
          <t>Yearly profit projection</t>
        </is>
      </c>
    </row>
    <row r="20">
      <c r="A20" t="inlineStr">
        <is>
          <t>Annual Store Value Created</t>
        </is>
      </c>
      <c r="B20" s="27">
        <f>Calculations!B33*12*Assumptions!B36*1.15</f>
        <v/>
      </c>
      <c r="C20" t="inlineStr">
        <is>
          <t>Yearly value driven to partner stores</t>
        </is>
      </c>
    </row>
  </sheetData>
  <mergeCells count="5">
    <mergeCell ref="A1:C1"/>
    <mergeCell ref="A17:C17"/>
    <mergeCell ref="A3:C3"/>
    <mergeCell ref="A12:C12"/>
    <mergeCell ref="A7:C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</cols>
  <sheetData>
    <row r="1">
      <c r="A1" s="13" t="inlineStr">
        <is>
          <t>SENSITIVITY ANALYSIS</t>
        </is>
      </c>
    </row>
    <row r="3">
      <c r="A3" s="2" t="inlineStr">
        <is>
          <t>SENSITIVITY: Monthly Ad Views per User</t>
        </is>
      </c>
    </row>
    <row r="4">
      <c r="A4" s="7" t="inlineStr">
        <is>
          <t>EXPLANATION: This table shows how your business performs if users watch MORE or FEWER ads per month.</t>
        </is>
      </c>
    </row>
    <row r="5">
      <c r="A5" s="7" t="inlineStr">
        <is>
          <t>Higher engagement = More ad revenue &amp; rewards. Watch the margin % - it stays stable because rewards scale with views.</t>
        </is>
      </c>
    </row>
    <row r="7">
      <c r="A7" s="2" t="inlineStr">
        <is>
          <t>Ad Views</t>
        </is>
      </c>
      <c r="B7" s="2" t="inlineStr">
        <is>
          <t>Revenue</t>
        </is>
      </c>
      <c r="C7" s="2" t="inlineStr">
        <is>
          <t>Margin</t>
        </is>
      </c>
      <c r="D7" s="2" t="inlineStr">
        <is>
          <t>Margin %</t>
        </is>
      </c>
      <c r="E7" s="2" t="inlineStr">
        <is>
          <t>User Rewards</t>
        </is>
      </c>
    </row>
    <row r="8">
      <c r="A8" t="n">
        <v>3</v>
      </c>
      <c r="B8" s="27" t="n">
        <v>7600</v>
      </c>
      <c r="C8" s="27" t="n">
        <v>5440</v>
      </c>
      <c r="D8" s="23" t="n">
        <v>0.7157894736842105</v>
      </c>
      <c r="E8" s="19" t="n">
        <v>0.36</v>
      </c>
    </row>
    <row r="9">
      <c r="A9" t="n">
        <v>6</v>
      </c>
      <c r="B9" s="27" t="n">
        <v>11200</v>
      </c>
      <c r="C9" s="27" t="n">
        <v>6880</v>
      </c>
      <c r="D9" s="23" t="n">
        <v>0.6142857142857143</v>
      </c>
      <c r="E9" s="19" t="n">
        <v>0.72</v>
      </c>
    </row>
    <row r="10">
      <c r="A10" t="n">
        <v>9</v>
      </c>
      <c r="B10" s="27" t="n">
        <v>14800</v>
      </c>
      <c r="C10" s="27" t="n">
        <v>8320</v>
      </c>
      <c r="D10" s="23" t="n">
        <v>0.5621621621621622</v>
      </c>
      <c r="E10" s="19" t="n">
        <v>1.08</v>
      </c>
    </row>
    <row r="11">
      <c r="A11" t="n">
        <v>12</v>
      </c>
      <c r="B11" s="27" t="n">
        <v>18400</v>
      </c>
      <c r="C11" s="27" t="n">
        <v>9760</v>
      </c>
      <c r="D11" s="23" t="n">
        <v>0.5304347826086957</v>
      </c>
      <c r="E11" s="19" t="n">
        <v>1.44</v>
      </c>
    </row>
    <row r="12">
      <c r="A12" t="n">
        <v>15</v>
      </c>
      <c r="B12" s="27" t="n">
        <v>22000</v>
      </c>
      <c r="C12" s="27" t="n">
        <v>11200</v>
      </c>
      <c r="D12" s="23" t="n">
        <v>0.509090909090909</v>
      </c>
      <c r="E12" s="19" t="n">
        <v>1.8</v>
      </c>
    </row>
    <row r="13">
      <c r="A13" t="n">
        <v>18</v>
      </c>
      <c r="B13" s="27" t="n">
        <v>25600</v>
      </c>
      <c r="C13" s="27" t="n">
        <v>12640</v>
      </c>
      <c r="D13" s="23" t="n">
        <v>0.49375</v>
      </c>
      <c r="E13" s="19" t="n">
        <v>2.16</v>
      </c>
    </row>
    <row r="14">
      <c r="A14" t="n">
        <v>20</v>
      </c>
      <c r="B14" s="27" t="n">
        <v>28000</v>
      </c>
      <c r="C14" s="27" t="n">
        <v>13600</v>
      </c>
      <c r="D14" s="23" t="n">
        <v>0.4857142857142857</v>
      </c>
      <c r="E14" s="19" t="n">
        <v>2.4</v>
      </c>
    </row>
    <row r="15">
      <c r="A15" t="n">
        <v>25</v>
      </c>
      <c r="B15" s="27" t="n">
        <v>34000</v>
      </c>
      <c r="C15" s="27" t="n">
        <v>16000</v>
      </c>
      <c r="D15" s="23" t="n">
        <v>0.4705882352941176</v>
      </c>
      <c r="E15" s="19" t="n">
        <v>3</v>
      </c>
    </row>
    <row r="18">
      <c r="A18" s="2" t="inlineStr">
        <is>
          <t>SENSITIVITY: Bag Retail Price</t>
        </is>
      </c>
    </row>
    <row r="19">
      <c r="A19" s="7" t="inlineStr">
        <is>
          <t>EXPLANATION: What happens if you price bags higher or lower? Higher price = more upfront revenue but may reduce volume.</t>
        </is>
      </c>
    </row>
    <row r="20">
      <c r="A20" s="7" t="inlineStr">
        <is>
          <t>Key metric: User Net Cost. Negative = FREE bags after rewards! Watch this to keep bags attractive to users.</t>
        </is>
      </c>
    </row>
    <row r="22">
      <c r="A22" s="2" t="inlineStr">
        <is>
          <t>Bag Price</t>
        </is>
      </c>
      <c r="B22" s="2" t="inlineStr">
        <is>
          <t>Revenue</t>
        </is>
      </c>
      <c r="C22" s="2" t="inlineStr">
        <is>
          <t>Margin</t>
        </is>
      </c>
      <c r="D22" s="2" t="inlineStr">
        <is>
          <t>Margin %</t>
        </is>
      </c>
      <c r="E22" s="2" t="inlineStr">
        <is>
          <t>User Net Cost</t>
        </is>
      </c>
    </row>
    <row r="23">
      <c r="A23" s="19" t="n">
        <v>0.25</v>
      </c>
      <c r="B23" s="27" t="n">
        <v>16900</v>
      </c>
      <c r="C23" s="27" t="n">
        <v>8260</v>
      </c>
      <c r="D23" s="23" t="n">
        <v>0.4887573964497041</v>
      </c>
      <c r="E23" s="19" t="n">
        <v>-0.11</v>
      </c>
    </row>
    <row r="24">
      <c r="A24" s="19" t="n">
        <v>0.3</v>
      </c>
      <c r="B24" s="27" t="n">
        <v>17400</v>
      </c>
      <c r="C24" s="27" t="n">
        <v>8760</v>
      </c>
      <c r="D24" s="23" t="n">
        <v>0.503448275862069</v>
      </c>
      <c r="E24" s="19" t="n">
        <v>-0.06</v>
      </c>
    </row>
    <row r="25">
      <c r="A25" s="19" t="n">
        <v>0.35</v>
      </c>
      <c r="B25" s="27" t="n">
        <v>17900</v>
      </c>
      <c r="C25" s="27" t="n">
        <v>9260</v>
      </c>
      <c r="D25" s="23" t="n">
        <v>0.5173184357541899</v>
      </c>
      <c r="E25" s="19" t="n">
        <v>-0.01000000000000001</v>
      </c>
    </row>
    <row r="26">
      <c r="A26" s="19" t="n">
        <v>0.4</v>
      </c>
      <c r="B26" s="27" t="n">
        <v>18400</v>
      </c>
      <c r="C26" s="27" t="n">
        <v>9760</v>
      </c>
      <c r="D26" s="23" t="n">
        <v>0.5304347826086957</v>
      </c>
      <c r="E26" s="19" t="n">
        <v>0.04000000000000004</v>
      </c>
    </row>
    <row r="27">
      <c r="A27" s="19" t="n">
        <v>0.45</v>
      </c>
      <c r="B27" s="27" t="n">
        <v>18900</v>
      </c>
      <c r="C27" s="27" t="n">
        <v>10260</v>
      </c>
      <c r="D27" s="23" t="n">
        <v>0.5428571428571428</v>
      </c>
      <c r="E27" s="19" t="n">
        <v>0.09000000000000002</v>
      </c>
    </row>
    <row r="28">
      <c r="A28" s="19" t="n">
        <v>0.5</v>
      </c>
      <c r="B28" s="27" t="n">
        <v>19400</v>
      </c>
      <c r="C28" s="27" t="n">
        <v>10760</v>
      </c>
      <c r="D28" s="23" t="n">
        <v>0.554639175257732</v>
      </c>
      <c r="E28" s="19" t="n">
        <v>0.14</v>
      </c>
    </row>
    <row r="29">
      <c r="A29" s="19" t="n">
        <v>0.6</v>
      </c>
      <c r="B29" s="27" t="n">
        <v>20400</v>
      </c>
      <c r="C29" s="27" t="n">
        <v>11760</v>
      </c>
      <c r="D29" s="23" t="n">
        <v>0.5764705882352941</v>
      </c>
      <c r="E29" s="19" t="n">
        <v>0.24</v>
      </c>
    </row>
    <row r="30">
      <c r="A30" s="19" t="n">
        <v>0.75</v>
      </c>
      <c r="B30" s="27" t="n">
        <v>21900</v>
      </c>
      <c r="C30" s="27" t="n">
        <v>13260</v>
      </c>
      <c r="D30" s="23" t="n">
        <v>0.6054794520547945</v>
      </c>
      <c r="E30" s="19" t="n">
        <v>0.39</v>
      </c>
    </row>
    <row r="33">
      <c r="A33" s="2" t="inlineStr">
        <is>
          <t>SENSITIVITY: Monthly Volume (Bags Sold)</t>
        </is>
      </c>
    </row>
    <row r="34">
      <c r="A34" s="7" t="inlineStr">
        <is>
          <t>EXPLANATION: This shows your business at different scales - from small pilot (5K bags) to large scale (50K+ bags/month).</t>
        </is>
      </c>
    </row>
    <row r="35">
      <c r="A35" s="7" t="inlineStr">
        <is>
          <t>Notice: Margin % stays constant! The model scales linearly. Store Value = traffic driven to partner stores (their revenue opportunity).</t>
        </is>
      </c>
    </row>
    <row r="37">
      <c r="A37" s="2" t="inlineStr">
        <is>
          <t>Bags Sold</t>
        </is>
      </c>
      <c r="B37" s="2" t="inlineStr">
        <is>
          <t>Revenue</t>
        </is>
      </c>
      <c r="C37" s="2" t="inlineStr">
        <is>
          <t>Margin</t>
        </is>
      </c>
      <c r="D37" s="2" t="inlineStr">
        <is>
          <t>Margin %</t>
        </is>
      </c>
      <c r="E37" s="2" t="inlineStr">
        <is>
          <t>Store Value</t>
        </is>
      </c>
    </row>
    <row r="38">
      <c r="A38" s="14" t="n">
        <v>5000</v>
      </c>
      <c r="B38" s="27" t="n">
        <v>9200</v>
      </c>
      <c r="C38" s="27" t="n">
        <v>4880</v>
      </c>
      <c r="D38" s="23" t="n">
        <v>0.5304347826086957</v>
      </c>
      <c r="E38" s="27" t="n">
        <v>7740.000000000007</v>
      </c>
    </row>
    <row r="39">
      <c r="A39" s="14" t="n">
        <v>7500</v>
      </c>
      <c r="B39" s="27" t="n">
        <v>13800</v>
      </c>
      <c r="C39" s="27" t="n">
        <v>7320</v>
      </c>
      <c r="D39" s="23" t="n">
        <v>0.5304347826086957</v>
      </c>
      <c r="E39" s="27" t="n">
        <v>11610</v>
      </c>
    </row>
    <row r="40">
      <c r="A40" s="14" t="n">
        <v>10000</v>
      </c>
      <c r="B40" s="27" t="n">
        <v>18400</v>
      </c>
      <c r="C40" s="27" t="n">
        <v>9760</v>
      </c>
      <c r="D40" s="23" t="n">
        <v>0.5304347826086957</v>
      </c>
      <c r="E40" s="27" t="n">
        <v>15480.00000000001</v>
      </c>
    </row>
    <row r="41">
      <c r="A41" s="14" t="n">
        <v>15000</v>
      </c>
      <c r="B41" s="27" t="n">
        <v>27600</v>
      </c>
      <c r="C41" s="27" t="n">
        <v>14640</v>
      </c>
      <c r="D41" s="23" t="n">
        <v>0.5304347826086957</v>
      </c>
      <c r="E41" s="27" t="n">
        <v>23220</v>
      </c>
    </row>
    <row r="42">
      <c r="A42" s="14" t="n">
        <v>20000</v>
      </c>
      <c r="B42" s="27" t="n">
        <v>36800</v>
      </c>
      <c r="C42" s="27" t="n">
        <v>19520</v>
      </c>
      <c r="D42" s="23" t="n">
        <v>0.5304347826086957</v>
      </c>
      <c r="E42" s="27" t="n">
        <v>30960.00000000003</v>
      </c>
    </row>
    <row r="43">
      <c r="A43" s="14" t="n">
        <v>25000</v>
      </c>
      <c r="B43" s="27" t="n">
        <v>46000</v>
      </c>
      <c r="C43" s="27" t="n">
        <v>24400</v>
      </c>
      <c r="D43" s="23" t="n">
        <v>0.5304347826086957</v>
      </c>
      <c r="E43" s="27" t="n">
        <v>38700</v>
      </c>
    </row>
    <row r="44">
      <c r="A44" s="14" t="n">
        <v>50000</v>
      </c>
      <c r="B44" s="27" t="n">
        <v>92000</v>
      </c>
      <c r="C44" s="27" t="n">
        <v>48800</v>
      </c>
      <c r="D44" s="23" t="n">
        <v>0.5304347826086957</v>
      </c>
      <c r="E44" s="27" t="n">
        <v>77400</v>
      </c>
    </row>
  </sheetData>
  <mergeCells count="10">
    <mergeCell ref="A33:F33"/>
    <mergeCell ref="A19:F19"/>
    <mergeCell ref="A1:F1"/>
    <mergeCell ref="A5:F5"/>
    <mergeCell ref="A34:F34"/>
    <mergeCell ref="A18:F18"/>
    <mergeCell ref="A4:F4"/>
    <mergeCell ref="A35:F35"/>
    <mergeCell ref="A3:F3"/>
    <mergeCell ref="A20:F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5" customWidth="1" min="3" max="3"/>
    <col width="20" customWidth="1" min="4" max="4"/>
  </cols>
  <sheetData>
    <row r="1">
      <c r="A1" s="8" t="inlineStr">
        <is>
          <t>VISUAL COMPARISONS &amp; INSIGHTS</t>
        </is>
      </c>
    </row>
    <row r="3">
      <c r="A3" s="31" t="inlineStr">
        <is>
          <t>BRAND COST COMPARISON: Kshipra vs Meta</t>
        </is>
      </c>
    </row>
    <row r="4">
      <c r="A4" s="2" t="inlineStr">
        <is>
          <t>Platform</t>
        </is>
      </c>
      <c r="B4" s="2" t="inlineStr">
        <is>
          <t>CPM</t>
        </is>
      </c>
      <c r="C4" s="2" t="inlineStr">
        <is>
          <t>Cost per Engagement</t>
        </is>
      </c>
    </row>
    <row r="5">
      <c r="A5" t="inlineStr">
        <is>
          <t>Kshipra BagBuddy</t>
        </is>
      </c>
      <c r="B5">
        <f>Calculations!B39</f>
        <v/>
      </c>
      <c r="C5">
        <f>Calculations!B40</f>
        <v/>
      </c>
      <c r="D5" t="inlineStr">
        <is>
          <t>100% verified engagement</t>
        </is>
      </c>
    </row>
    <row r="6">
      <c r="A6" t="inlineStr">
        <is>
          <t>Meta/Facebook</t>
        </is>
      </c>
      <c r="B6">
        <f>Calculations!B44</f>
        <v/>
      </c>
      <c r="C6">
        <f>Calculations!B46</f>
        <v/>
      </c>
      <c r="D6" t="inlineStr">
        <is>
          <t>Only 1% CTR (99% wasted)</t>
        </is>
      </c>
    </row>
    <row r="19">
      <c r="A19" s="31" t="inlineStr">
        <is>
          <t>USER VALUE: How Users Get FREE Bags</t>
        </is>
      </c>
    </row>
    <row r="20">
      <c r="A20" s="2" t="inlineStr">
        <is>
          <t>Component</t>
        </is>
      </c>
      <c r="B20" s="2" t="inlineStr">
        <is>
          <t>Amount</t>
        </is>
      </c>
    </row>
    <row r="21">
      <c r="A21" t="inlineStr">
        <is>
          <t>Bag Price (Paid Upfront)</t>
        </is>
      </c>
      <c r="B21" s="19">
        <f>Assumptions!B4</f>
        <v/>
      </c>
      <c r="C21" t="inlineStr">
        <is>
          <t>What user pays</t>
        </is>
      </c>
    </row>
    <row r="22">
      <c r="A22" t="inlineStr">
        <is>
          <t>Cash Rewards Earned</t>
        </is>
      </c>
      <c r="B22" s="19">
        <f>-Assumptions!B17*Assumptions!B9</f>
        <v/>
      </c>
      <c r="C22" t="inlineStr">
        <is>
          <t>Instant cash back</t>
        </is>
      </c>
    </row>
    <row r="23">
      <c r="A23" t="inlineStr">
        <is>
          <t>Store Credit Earned</t>
        </is>
      </c>
      <c r="B23" s="19">
        <f>-Assumptions!B17*Assumptions!B10</f>
        <v/>
      </c>
      <c r="C23" t="inlineStr">
        <is>
          <t>Redeemable rewards</t>
        </is>
      </c>
    </row>
    <row r="24">
      <c r="A24" t="inlineStr">
        <is>
          <t>Net Cost to User</t>
        </is>
      </c>
      <c r="B24" s="32">
        <f>Calculations!B28</f>
        <v/>
      </c>
      <c r="C24" t="inlineStr">
        <is>
          <t>Negative = FREE!</t>
        </is>
      </c>
    </row>
    <row r="37">
      <c r="A37" s="31" t="inlineStr">
        <is>
          <t>INVESTOR ATTRACTIVENESS</t>
        </is>
      </c>
    </row>
    <row r="38">
      <c r="A38" s="2" t="inlineStr">
        <is>
          <t>Metric</t>
        </is>
      </c>
      <c r="B38" s="2" t="inlineStr">
        <is>
          <t>Value</t>
        </is>
      </c>
      <c r="C38" s="2" t="inlineStr">
        <is>
          <t>Target</t>
        </is>
      </c>
      <c r="D38" s="2" t="inlineStr">
        <is>
          <t>Rating</t>
        </is>
      </c>
    </row>
    <row r="39">
      <c r="A39" t="inlineStr">
        <is>
          <t>LTV:CAC Ratio</t>
        </is>
      </c>
      <c r="B39" s="33">
        <f>(12*(Assumptions!B4+Assumptions!B18*Assumptions!B11))/2</f>
        <v/>
      </c>
      <c r="C39" t="inlineStr">
        <is>
          <t>&gt;3x</t>
        </is>
      </c>
      <c r="D39" s="26" t="inlineStr">
        <is>
          <t>✅ EXCELLENT</t>
        </is>
      </c>
    </row>
    <row r="40">
      <c r="A40" t="inlineStr">
        <is>
          <t>Payback Period</t>
        </is>
      </c>
      <c r="B40" s="34">
        <f>2/(Assumptions!B4+Assumptions!B18*Assumptions!B11)</f>
        <v/>
      </c>
      <c r="C40" t="inlineStr">
        <is>
          <t>&lt;6 months</t>
        </is>
      </c>
      <c r="D40" s="26" t="inlineStr">
        <is>
          <t>✅ EXCELLENT</t>
        </is>
      </c>
    </row>
    <row r="41">
      <c r="A41" t="inlineStr">
        <is>
          <t>Margin %</t>
        </is>
      </c>
      <c r="B41" s="23">
        <f>Calculations!B14/Calculations!B9</f>
        <v/>
      </c>
      <c r="C41" t="inlineStr">
        <is>
          <t>&gt;30%</t>
        </is>
      </c>
      <c r="D41" s="26" t="inlineStr">
        <is>
          <t>✅ STRONG</t>
        </is>
      </c>
    </row>
    <row r="43">
      <c r="A43" s="31" t="inlineStr">
        <is>
          <t>VALUE TO PARTNER STORES</t>
        </is>
      </c>
    </row>
    <row r="44">
      <c r="A44" s="2" t="inlineStr">
        <is>
          <t>Metric</t>
        </is>
      </c>
      <c r="B44" s="2" t="inlineStr">
        <is>
          <t>Monthly Value</t>
        </is>
      </c>
    </row>
    <row r="45">
      <c r="A45" t="inlineStr">
        <is>
          <t>Reward Redemptions</t>
        </is>
      </c>
      <c r="B45" s="27">
        <f>Calculations!B31*Assumptions!B33/100</f>
        <v/>
      </c>
      <c r="C45" t="inlineStr">
        <is>
          <t>Direct traffic to stores</t>
        </is>
      </c>
    </row>
    <row r="46">
      <c r="A46" t="inlineStr">
        <is>
          <t>Baseline Basket Value</t>
        </is>
      </c>
      <c r="B46" s="27">
        <f>Calculations!B34</f>
        <v/>
      </c>
      <c r="C46" t="inlineStr">
        <is>
          <t>Standard purchases</t>
        </is>
      </c>
    </row>
    <row r="47">
      <c r="A47" t="inlineStr">
        <is>
          <t>Incremental Basket Uplift</t>
        </is>
      </c>
      <c r="B47" s="27">
        <f>Calculations!B34*Assumptions!B35/100</f>
        <v/>
      </c>
      <c r="C47" t="inlineStr">
        <is>
          <t>Extra sales from rewards</t>
        </is>
      </c>
    </row>
  </sheetData>
  <mergeCells count="5">
    <mergeCell ref="A37:D37"/>
    <mergeCell ref="A3:D3"/>
    <mergeCell ref="A43:D43"/>
    <mergeCell ref="A19:D19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0" customWidth="1" min="3" max="3"/>
    <col width="30" customWidth="1" min="4" max="4"/>
  </cols>
  <sheetData>
    <row r="1">
      <c r="A1" s="13" t="inlineStr">
        <is>
          <t>REFERENCES &amp; DATA SOURCES</t>
        </is>
      </c>
    </row>
    <row r="3">
      <c r="A3" s="7" t="inlineStr">
        <is>
          <t>All assumptions in this model are based on verified industry data and published research.</t>
        </is>
      </c>
    </row>
    <row r="5">
      <c r="A5" s="2" t="inlineStr">
        <is>
          <t>SOCIAL MEDIA ADVERTISING COSTS</t>
        </is>
      </c>
    </row>
    <row r="6">
      <c r="A6" s="2" t="inlineStr">
        <is>
          <t>Metric</t>
        </is>
      </c>
      <c r="B6" s="2" t="inlineStr">
        <is>
          <t>Value Used</t>
        </is>
      </c>
      <c r="C6" s="2" t="inlineStr">
        <is>
          <t>Source</t>
        </is>
      </c>
      <c r="D6" s="2" t="inlineStr">
        <is>
          <t>Year</t>
        </is>
      </c>
    </row>
    <row r="7">
      <c r="A7" s="35" t="inlineStr">
        <is>
          <t>Meta/Facebook CPM</t>
        </is>
      </c>
      <c r="B7" t="inlineStr">
        <is>
          <t>$10.00</t>
        </is>
      </c>
      <c r="C7" t="inlineStr">
        <is>
          <t>Meta Business Help Center, WordStream Benchmark Report</t>
        </is>
      </c>
      <c r="D7" t="inlineStr">
        <is>
          <t>2024-2025</t>
        </is>
      </c>
    </row>
    <row r="8">
      <c r="A8" s="35" t="inlineStr">
        <is>
          <t>TikTok CPM</t>
        </is>
      </c>
      <c r="B8" t="inlineStr">
        <is>
          <t>$8.50</t>
        </is>
      </c>
      <c r="C8" t="inlineStr">
        <is>
          <t>TikTok Business, Social Media Examiner</t>
        </is>
      </c>
      <c r="D8" t="inlineStr">
        <is>
          <t>2024</t>
        </is>
      </c>
    </row>
    <row r="9">
      <c r="A9" s="35" t="inlineStr">
        <is>
          <t>Industry Average CTR</t>
        </is>
      </c>
      <c r="B9" t="inlineStr">
        <is>
          <t>1.0%</t>
        </is>
      </c>
      <c r="C9" t="inlineStr">
        <is>
          <t>Facebook Ads Benchmarks by WordStream, HubSpot</t>
        </is>
      </c>
      <c r="D9" t="inlineStr">
        <is>
          <t>2024</t>
        </is>
      </c>
    </row>
    <row r="10">
      <c r="A10" s="36" t="inlineStr">
        <is>
          <t>Note: Actual CPMs vary by industry, targeting, and season. E-commerce typically $7-15.</t>
        </is>
      </c>
    </row>
    <row r="12">
      <c r="A12" s="2" t="inlineStr">
        <is>
          <t>CONSUMER BEHAVIOR &amp; ENGAGEMENT</t>
        </is>
      </c>
    </row>
    <row r="13">
      <c r="A13" s="2" t="inlineStr">
        <is>
          <t>Metric</t>
        </is>
      </c>
      <c r="B13" s="2" t="inlineStr">
        <is>
          <t>Value Used</t>
        </is>
      </c>
      <c r="C13" s="2" t="inlineStr">
        <is>
          <t>Source</t>
        </is>
      </c>
      <c r="D13" s="2" t="inlineStr">
        <is>
          <t>Year</t>
        </is>
      </c>
    </row>
    <row r="14">
      <c r="A14" s="35" t="inlineStr">
        <is>
          <t>Active User Rate</t>
        </is>
      </c>
      <c r="B14" t="inlineStr">
        <is>
          <t>60%</t>
        </is>
      </c>
      <c r="C14" t="inlineStr">
        <is>
          <t>Industry avg for reward programs (Bond Brand Loyalty Report)</t>
        </is>
      </c>
      <c r="D14" t="inlineStr">
        <is>
          <t>2024</t>
        </is>
      </c>
    </row>
    <row r="15">
      <c r="A15" s="35" t="inlineStr">
        <is>
          <t>Reward Redemption Rate</t>
        </is>
      </c>
      <c r="B15" t="inlineStr">
        <is>
          <t>75%</t>
        </is>
      </c>
      <c r="C15" t="inlineStr">
        <is>
          <t>Collinson Group Loyalty Census, COLLOQUY</t>
        </is>
      </c>
      <c r="D15" t="inlineStr">
        <is>
          <t>2023-2024</t>
        </is>
      </c>
    </row>
    <row r="16">
      <c r="A16" s="35" t="inlineStr">
        <is>
          <t>Basket Size Uplift</t>
        </is>
      </c>
      <c r="B16" t="inlineStr">
        <is>
          <t>8%</t>
        </is>
      </c>
      <c r="C16" t="inlineStr">
        <is>
          <t>Accenture Strategy: Rewards Program Impact Study</t>
        </is>
      </c>
      <c r="D16" t="inlineStr">
        <is>
          <t>2023</t>
        </is>
      </c>
    </row>
    <row r="17">
      <c r="A17" s="35" t="inlineStr">
        <is>
          <t>Repeat Visit Increase</t>
        </is>
      </c>
      <c r="B17" t="inlineStr">
        <is>
          <t>15%</t>
        </is>
      </c>
      <c r="C17" t="inlineStr">
        <is>
          <t>Harvard Business Review: The Value of Keeping the Right Customers</t>
        </is>
      </c>
      <c r="D17" t="inlineStr">
        <is>
          <t>2023</t>
        </is>
      </c>
    </row>
    <row r="19">
      <c r="A19" s="2" t="inlineStr">
        <is>
          <t>INVESTOR METRICS BENCHMARKS</t>
        </is>
      </c>
    </row>
    <row r="20">
      <c r="A20" s="2" t="inlineStr">
        <is>
          <t>Metric</t>
        </is>
      </c>
      <c r="B20" s="2" t="inlineStr">
        <is>
          <t>Good Target</t>
        </is>
      </c>
      <c r="C20" s="2" t="inlineStr">
        <is>
          <t>Source</t>
        </is>
      </c>
      <c r="D20" s="2" t="inlineStr">
        <is>
          <t>Industry Standard</t>
        </is>
      </c>
    </row>
    <row r="21">
      <c r="A21" s="35" t="inlineStr">
        <is>
          <t>LTV:CAC Ratio</t>
        </is>
      </c>
      <c r="B21" t="inlineStr">
        <is>
          <t>&gt;3:1</t>
        </is>
      </c>
      <c r="C21" t="inlineStr">
        <is>
          <t>SaaS Capital, Pacific Crest SaaS Survey</t>
        </is>
      </c>
      <c r="D21" t="inlineStr">
        <is>
          <t>3:1 = Good, 5:1 = Great, &gt;10:1 = Excellent</t>
        </is>
      </c>
    </row>
    <row r="22">
      <c r="A22" s="35" t="inlineStr">
        <is>
          <t>CAC Payback Period</t>
        </is>
      </c>
      <c r="B22" t="inlineStr">
        <is>
          <t>&lt;6 months</t>
        </is>
      </c>
      <c r="C22" t="inlineStr">
        <is>
          <t>KeyBanc Capital Markets, OpenView Partners</t>
        </is>
      </c>
      <c r="D22" t="inlineStr">
        <is>
          <t>&lt;6mo = Good, &lt;3mo = Excellent</t>
        </is>
      </c>
    </row>
    <row r="23">
      <c r="A23" s="35" t="inlineStr">
        <is>
          <t>Customer Lifetime</t>
        </is>
      </c>
      <c r="B23" t="inlineStr">
        <is>
          <t>12 months</t>
        </is>
      </c>
      <c r="C23" t="inlineStr">
        <is>
          <t>Industry avg for consumer apps (Mixpanel, Amplitude)</t>
        </is>
      </c>
      <c r="D23" t="inlineStr">
        <is>
          <t>6-18 months typical range</t>
        </is>
      </c>
    </row>
    <row r="24">
      <c r="A24" s="35" t="inlineStr">
        <is>
          <t>Gross Margin %</t>
        </is>
      </c>
      <c r="B24" t="inlineStr">
        <is>
          <t>&gt;30%</t>
        </is>
      </c>
      <c r="C24" t="inlineStr">
        <is>
          <t>SaaS benchmarks (though we're marketplace model)</t>
        </is>
      </c>
      <c r="D24" t="inlineStr">
        <is>
          <t>40-50% typical for tech platforms</t>
        </is>
      </c>
    </row>
    <row r="26">
      <c r="A26" s="2" t="inlineStr">
        <is>
          <t>KEY RESEARCH &amp; REPORTS</t>
        </is>
      </c>
    </row>
    <row r="27">
      <c r="A27" s="2" t="inlineStr">
        <is>
          <t>Source</t>
        </is>
      </c>
      <c r="B27" s="2" t="inlineStr">
        <is>
          <t>URL</t>
        </is>
      </c>
      <c r="C27" s="2" t="inlineStr">
        <is>
          <t>Description</t>
        </is>
      </c>
    </row>
    <row r="28">
      <c r="A28" t="inlineStr">
        <is>
          <t>Meta Business Help Center</t>
        </is>
      </c>
      <c r="B28" s="37" t="inlineStr">
        <is>
          <t>https://www.facebook.com/business/help</t>
        </is>
      </c>
      <c r="C28" t="inlineStr">
        <is>
          <t>Official Facebook/Meta advertising documentation</t>
        </is>
      </c>
    </row>
    <row r="29">
      <c r="A29" t="inlineStr">
        <is>
          <t>WordStream Ad Benchmarks</t>
        </is>
      </c>
      <c r="B29" s="37" t="inlineStr">
        <is>
          <t>https://www.wordstream.com/blog/ws/2022/03/21/facebook-ad-benchmarks</t>
        </is>
      </c>
      <c r="C29" t="inlineStr">
        <is>
          <t>Industry CPM and CTR benchmarks</t>
        </is>
      </c>
    </row>
    <row r="30">
      <c r="A30" t="inlineStr">
        <is>
          <t>Bond Brand Loyalty Report</t>
        </is>
      </c>
      <c r="B30" s="37" t="inlineStr">
        <is>
          <t>https://bondbrandloyalty.com/reports/</t>
        </is>
      </c>
      <c r="C30" t="inlineStr">
        <is>
          <t>Annual loyalty program engagement statistics</t>
        </is>
      </c>
    </row>
    <row r="31">
      <c r="A31" t="inlineStr">
        <is>
          <t>Collinson Loyalty Census</t>
        </is>
      </c>
      <c r="B31" s="37" t="inlineStr">
        <is>
          <t>https://www.collinsongroup.com/</t>
        </is>
      </c>
      <c r="C31" t="inlineStr">
        <is>
          <t>Global loyalty program redemption rates</t>
        </is>
      </c>
    </row>
    <row r="32">
      <c r="A32" t="inlineStr">
        <is>
          <t>HubSpot Marketing Statistics</t>
        </is>
      </c>
      <c r="B32" s="37" t="inlineStr">
        <is>
          <t>https://www.hubspot.com/marketing-statistics</t>
        </is>
      </c>
      <c r="C32" t="inlineStr">
        <is>
          <t>Social media CTR benchmarks</t>
        </is>
      </c>
    </row>
    <row r="33">
      <c r="A33" t="inlineStr">
        <is>
          <t>SaaS Capital Survey</t>
        </is>
      </c>
      <c r="B33" s="37" t="inlineStr">
        <is>
          <t>https://www.saas-capital.com/</t>
        </is>
      </c>
      <c r="C33" t="inlineStr">
        <is>
          <t>LTV:CAC and SaaS metrics benchmarks</t>
        </is>
      </c>
    </row>
    <row r="34">
      <c r="A34" t="inlineStr">
        <is>
          <t>Pacific Crest SaaS Survey</t>
        </is>
      </c>
      <c r="B34" s="37" t="inlineStr">
        <is>
          <t>https://www.bvp.com/atlas/</t>
        </is>
      </c>
      <c r="C34" t="inlineStr">
        <is>
          <t>Annual SaaS company metrics (via BVP)</t>
        </is>
      </c>
    </row>
    <row r="35">
      <c r="A35" t="inlineStr">
        <is>
          <t>Accenture Strategy</t>
        </is>
      </c>
      <c r="B35" s="37" t="inlineStr">
        <is>
          <t>https://www.accenture.com/</t>
        </is>
      </c>
      <c r="C35" t="inlineStr">
        <is>
          <t>Retail loyalty program impact studies</t>
        </is>
      </c>
    </row>
    <row r="38">
      <c r="A38" s="2" t="inlineStr">
        <is>
          <t>METHODOLOGY NOTES</t>
        </is>
      </c>
    </row>
    <row r="39">
      <c r="A39" s="38" t="inlineStr">
        <is>
          <t>1. All financial projections are conservative estimates based on current market data.</t>
        </is>
      </c>
    </row>
    <row r="40">
      <c r="A40" s="38" t="inlineStr">
        <is>
          <t>2. CPM values represent median industry benchmarks; actual costs vary by targeting and competition.</t>
        </is>
      </c>
    </row>
    <row r="41">
      <c r="A41" s="38" t="inlineStr">
        <is>
          <t>3. User engagement rates (60% active) account for natural drop-off in reward program participation.</t>
        </is>
      </c>
    </row>
    <row r="42">
      <c r="A42" s="38" t="inlineStr">
        <is>
          <t>4. Redemption rates (75%) align with high-performing grocery/retail loyalty programs.</t>
        </is>
      </c>
    </row>
    <row r="43">
      <c r="A43" s="38" t="inlineStr">
        <is>
          <t>5. Basket uplift (8%) is conservative compared to industry average of 10-15% for reward-driven purchases.</t>
        </is>
      </c>
    </row>
    <row r="44">
      <c r="A44" s="38" t="inlineStr">
        <is>
          <t>6. Kshipra's verified engagement model eliminates ad fraud and bot traffic common in digital advertising.</t>
        </is>
      </c>
    </row>
    <row r="45">
      <c r="A45" s="38" t="inlineStr">
        <is>
          <t>7. Traditional social media CTR of 1% means brands waste 99% of impression budget on non-engaged users.</t>
        </is>
      </c>
    </row>
    <row r="46">
      <c r="A46" s="38" t="inlineStr">
        <is>
          <t>8. Our model assumes brands value verified engagement 20x higher than unverified impressions.</t>
        </is>
      </c>
    </row>
  </sheetData>
  <mergeCells count="16">
    <mergeCell ref="A1:D1"/>
    <mergeCell ref="A5:D5"/>
    <mergeCell ref="A40:D40"/>
    <mergeCell ref="A45:D45"/>
    <mergeCell ref="A12:D12"/>
    <mergeCell ref="A3:D3"/>
    <mergeCell ref="A26:D26"/>
    <mergeCell ref="A38:D38"/>
    <mergeCell ref="A39:D39"/>
    <mergeCell ref="A43:D43"/>
    <mergeCell ref="A41:D41"/>
    <mergeCell ref="A19:D19"/>
    <mergeCell ref="A10:D10"/>
    <mergeCell ref="A42:D42"/>
    <mergeCell ref="A46:D46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2025-11-10T04:03:41Z</dcterms:created>
  <dcterms:modified xsi:type="dcterms:W3CDTF">2025-11-10T04:03:41Z</dcterms:modified>
</cp:coreProperties>
</file>