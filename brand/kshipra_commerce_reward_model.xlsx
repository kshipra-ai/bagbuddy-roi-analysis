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kshipra-codebase\roi-analysis\brand\"/>
    </mc:Choice>
  </mc:AlternateContent>
  <xr:revisionPtr revIDLastSave="0" documentId="13_ncr:1_{D56A2460-CEC2-48C4-8C67-A107846E9B49}" xr6:coauthVersionLast="47" xr6:coauthVersionMax="47" xr10:uidLastSave="{00000000-0000-0000-0000-000000000000}"/>
  <bookViews>
    <workbookView xWindow="19090" yWindow="-110" windowWidth="19420" windowHeight="10300" activeTab="1" xr2:uid="{00000000-000D-0000-FFFF-FFFF00000000}"/>
  </bookViews>
  <sheets>
    <sheet name="Dashboard" sheetId="1" r:id="rId1"/>
    <sheet name="Assumptions" sheetId="2" r:id="rId2"/>
    <sheet name="Calculations" sheetId="3" r:id="rId3"/>
    <sheet name="Scenarios" sheetId="4" r:id="rId4"/>
    <sheet name="Investor Metrics" sheetId="5" r:id="rId5"/>
    <sheet name="Sensitivity Analysis" sheetId="6" r:id="rId6"/>
    <sheet name="Visual Comparisons" sheetId="7" r:id="rId7"/>
    <sheet name="References &amp; Data Sources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0" i="7" l="1"/>
  <c r="B39" i="7"/>
  <c r="B23" i="7"/>
  <c r="B22" i="7"/>
  <c r="B21" i="7"/>
  <c r="C6" i="7"/>
  <c r="B15" i="5"/>
  <c r="B14" i="5"/>
  <c r="B9" i="5"/>
  <c r="B8" i="5"/>
  <c r="B10" i="5" s="1"/>
  <c r="B13" i="5" s="1"/>
  <c r="B46" i="3"/>
  <c r="B49" i="3" s="1"/>
  <c r="B45" i="3"/>
  <c r="B44" i="3"/>
  <c r="B6" i="7" s="1"/>
  <c r="B40" i="3"/>
  <c r="C5" i="7" s="1"/>
  <c r="B39" i="3"/>
  <c r="B5" i="7" s="1"/>
  <c r="B33" i="3"/>
  <c r="B20" i="5" s="1"/>
  <c r="B27" i="3"/>
  <c r="B28" i="3" s="1"/>
  <c r="B26" i="3"/>
  <c r="B25" i="3"/>
  <c r="B24" i="3"/>
  <c r="B21" i="3"/>
  <c r="B20" i="3"/>
  <c r="B19" i="3"/>
  <c r="B18" i="3"/>
  <c r="B6" i="3"/>
  <c r="B5" i="3"/>
  <c r="B7" i="3" s="1"/>
  <c r="B4" i="3"/>
  <c r="B8" i="1" l="1"/>
  <c r="B24" i="7"/>
  <c r="B12" i="3"/>
  <c r="B11" i="3"/>
  <c r="B8" i="3"/>
  <c r="B41" i="3" s="1"/>
  <c r="B31" i="3"/>
  <c r="B13" i="3"/>
  <c r="B14" i="3" s="1"/>
  <c r="B9" i="3"/>
  <c r="B51" i="3"/>
  <c r="B34" i="3"/>
  <c r="B47" i="7" l="1"/>
  <c r="B46" i="7"/>
  <c r="B35" i="3"/>
  <c r="B18" i="5"/>
  <c r="B4" i="1"/>
  <c r="B5" i="1"/>
  <c r="B41" i="7"/>
  <c r="B19" i="5"/>
  <c r="B15" i="3"/>
  <c r="B6" i="1"/>
  <c r="B45" i="7"/>
  <c r="B32" i="3"/>
</calcChain>
</file>

<file path=xl/sharedStrings.xml><?xml version="1.0" encoding="utf-8"?>
<sst xmlns="http://schemas.openxmlformats.org/spreadsheetml/2006/main" count="403" uniqueCount="340">
  <si>
    <t>KSHIPRA COMMERCE-REWARD MODEL DASHBOARD</t>
  </si>
  <si>
    <t>KEY METRICS</t>
  </si>
  <si>
    <t>Monthly Revenue:</t>
  </si>
  <si>
    <t>Total income (bags + ads)</t>
  </si>
  <si>
    <t>Monthly Margin:</t>
  </si>
  <si>
    <t>Final profit after all costs</t>
  </si>
  <si>
    <t>Margin %:</t>
  </si>
  <si>
    <t>Profitability ratio</t>
  </si>
  <si>
    <t>User Net Bag Cost:</t>
  </si>
  <si>
    <t>Negative = FREE bags!</t>
  </si>
  <si>
    <t>📝 Edit assumptions in the 'Assumptions' sheet (yellow cells)</t>
  </si>
  <si>
    <t>KSHIPRA COMMERCE-REWARD MODEL - ASSUMPTIONS</t>
  </si>
  <si>
    <t>PRICING &amp; VOLUME</t>
  </si>
  <si>
    <t>Bag Retail Price</t>
  </si>
  <si>
    <t>$</t>
  </si>
  <si>
    <t>What users pay upfront for each bag</t>
  </si>
  <si>
    <t>Bags Sold per Month</t>
  </si>
  <si>
    <t>bags</t>
  </si>
  <si>
    <t>Initial monthly volume - will grow quarterly</t>
  </si>
  <si>
    <t>Quarterly Bag Sales Growth</t>
  </si>
  <si>
    <t>%</t>
  </si>
  <si>
    <t>% increase in bag sales each quarter (compounding)</t>
  </si>
  <si>
    <t>BRAND PARTNERSHIP GROWTH</t>
  </si>
  <si>
    <t>Initial Brands Enrolled</t>
  </si>
  <si>
    <t>brands</t>
  </si>
  <si>
    <t>Starting number of brand advertisers</t>
  </si>
  <si>
    <t>Quarterly Brand Growth Rate</t>
  </si>
  <si>
    <t>% increase in brands each quarter (compounding)</t>
  </si>
  <si>
    <t>AD ECONOMICS</t>
  </si>
  <si>
    <t>CPV - Brand Pays per View</t>
  </si>
  <si>
    <t>Revenue per verified ad view (100% engagement)</t>
  </si>
  <si>
    <t>Cash Credit per View</t>
  </si>
  <si>
    <t>Instant cash reward to user (goes to wallet)</t>
  </si>
  <si>
    <t>Reward Points per View</t>
  </si>
  <si>
    <t>Store credit reward (redeemable at partner stores)</t>
  </si>
  <si>
    <t>Kshipra Margin per View</t>
  </si>
  <si>
    <t>Our profit per ad = CPV - Cash - Rewards</t>
  </si>
  <si>
    <t>USER ENGAGEMENT</t>
  </si>
  <si>
    <t>Active User Rate</t>
  </si>
  <si>
    <t>% of buyers who actually watch ads to earn rewards</t>
  </si>
  <si>
    <t>USER BEHAVIOR</t>
  </si>
  <si>
    <t>Avg Ads to Recover Bag Cost</t>
  </si>
  <si>
    <t>ads</t>
  </si>
  <si>
    <t>How many ads needed to make bag FREE</t>
  </si>
  <si>
    <t>Avg Monthly Ad Views per User</t>
  </si>
  <si>
    <t>views</t>
  </si>
  <si>
    <t>Engagement level: ads watched per active user/month</t>
  </si>
  <si>
    <t>TIER CASH CREDIT LIMITS</t>
  </si>
  <si>
    <t>Bronze - Bag Values/Month</t>
  </si>
  <si>
    <t>Low-engagement: 1 bag purchase/month</t>
  </si>
  <si>
    <t>Silver - Bag Values/Month</t>
  </si>
  <si>
    <t>Medium-engagement: 3 bags/month</t>
  </si>
  <si>
    <t>Gold - Bag Values/Month</t>
  </si>
  <si>
    <t>High-engagement: 7 bags/month</t>
  </si>
  <si>
    <t>Platinum - Daily Cap ($)</t>
  </si>
  <si>
    <t>Super users: $1/day earning limit</t>
  </si>
  <si>
    <t>USER DISTRIBUTION BY TIER (%)</t>
  </si>
  <si>
    <t>Bronze %</t>
  </si>
  <si>
    <t>Most users are casual shoppers</t>
  </si>
  <si>
    <t>Silver %</t>
  </si>
  <si>
    <t>Regular shoppers</t>
  </si>
  <si>
    <t>Gold %</t>
  </si>
  <si>
    <t>Frequent shoppers</t>
  </si>
  <si>
    <t>Platinum %</t>
  </si>
  <si>
    <t>Power users (heavy engagement)</t>
  </si>
  <si>
    <t>STORE &amp; REDEMPTION METRICS</t>
  </si>
  <si>
    <t>Reward Redemption Rate</t>
  </si>
  <si>
    <t>% of users who redeem rewards at stores</t>
  </si>
  <si>
    <t>Repeat Visit Increase</t>
  </si>
  <si>
    <t>Users visit more often to use rewards</t>
  </si>
  <si>
    <t>Basket Size Uplift</t>
  </si>
  <si>
    <t>Users buy more when they have rewards</t>
  </si>
  <si>
    <t>Average Basket Value</t>
  </si>
  <si>
    <t>Typical purchase amount per store visit</t>
  </si>
  <si>
    <t>BRAND BENCHMARKS</t>
  </si>
  <si>
    <t>Meta CPM</t>
  </si>
  <si>
    <t>Facebook/Instagram ad cost per 1000 impressions</t>
  </si>
  <si>
    <t>TikTok CPM</t>
  </si>
  <si>
    <t>TikTok ad cost per 1000 impressions</t>
  </si>
  <si>
    <t>Industry Avg CTR</t>
  </si>
  <si>
    <t>Click-through rate on social media ads (only 1% engage!)</t>
  </si>
  <si>
    <t>DETAILED CALCULATIONS</t>
  </si>
  <si>
    <t>MONTHLY BUSINESS SUMMARY</t>
  </si>
  <si>
    <t>Bags Sold</t>
  </si>
  <si>
    <t>Number of bags purchased this month</t>
  </si>
  <si>
    <t>Active Users (Watching Ads)</t>
  </si>
  <si>
    <t>Users who actually engage with ads</t>
  </si>
  <si>
    <t>Bag Revenue</t>
  </si>
  <si>
    <t>Income from selling bags to users</t>
  </si>
  <si>
    <t>Total Ad Views</t>
  </si>
  <si>
    <t>Total verified ad impressions delivered (only active users)</t>
  </si>
  <si>
    <t>Ad Revenue (Brand Spend)</t>
  </si>
  <si>
    <t>What brands pay for all ad views</t>
  </si>
  <si>
    <t>Total Revenue</t>
  </si>
  <si>
    <t>Combined income from bags + ads</t>
  </si>
  <si>
    <t>Total Cash Credits Paid</t>
  </si>
  <si>
    <t>Instant cash rewards given to users</t>
  </si>
  <si>
    <t>Total Reward Points Issued</t>
  </si>
  <si>
    <t>Store credit rewards issued to users</t>
  </si>
  <si>
    <t>Gross Margin (from Ads)</t>
  </si>
  <si>
    <t>Profit after paying out all rewards</t>
  </si>
  <si>
    <t>Total Margin</t>
  </si>
  <si>
    <t>Final profit: bag sales + ad margins</t>
  </si>
  <si>
    <t>Margin %</t>
  </si>
  <si>
    <t>Profit as percentage of revenue</t>
  </si>
  <si>
    <t>PER USER METRICS</t>
  </si>
  <si>
    <t>Monthly Ad Views</t>
  </si>
  <si>
    <t>How many ads each user watches per month</t>
  </si>
  <si>
    <t>Brand Spend per User</t>
  </si>
  <si>
    <t>Total brands pay for this user's ad views</t>
  </si>
  <si>
    <t>User Rewards per Month</t>
  </si>
  <si>
    <t>Cash + reward points user earns monthly</t>
  </si>
  <si>
    <t>Kshipra Margin per User</t>
  </si>
  <si>
    <t>Our profit per active user per month</t>
  </si>
  <si>
    <t>PER BAG METRICS</t>
  </si>
  <si>
    <t>Bag Retail Revenue</t>
  </si>
  <si>
    <t>What users pay for each bag</t>
  </si>
  <si>
    <t>Ad Views per Bag</t>
  </si>
  <si>
    <t>Ads needed to watch to recover bag cost</t>
  </si>
  <si>
    <t>Brand Revenue per Bag</t>
  </si>
  <si>
    <t>What brands pay for ads on one bag</t>
  </si>
  <si>
    <t>User Earnings per Bag</t>
  </si>
  <si>
    <t>Rewards user gets from watching ads</t>
  </si>
  <si>
    <t>User Net Cost</t>
  </si>
  <si>
    <t>Final cost after earning rewards (FREE if negative!)</t>
  </si>
  <si>
    <t>STORE VALUE METRICS</t>
  </si>
  <si>
    <t>Total Rewards Generated</t>
  </si>
  <si>
    <t>All rewards earned by users this month</t>
  </si>
  <si>
    <t>Reward Redemption Value</t>
  </si>
  <si>
    <t>How much will actually be redeemed at stores</t>
  </si>
  <si>
    <t>Estimated Transactions</t>
  </si>
  <si>
    <t>Number of store visits to redeem rewards</t>
  </si>
  <si>
    <t>Baseline Basket Value</t>
  </si>
  <si>
    <t>Total sales if customers buy average basket</t>
  </si>
  <si>
    <t>Incremental Basket Value</t>
  </si>
  <si>
    <t>Extra sales from customers buying more</t>
  </si>
  <si>
    <t>BRAND ROI COMPARISON</t>
  </si>
  <si>
    <t>KSHIPRA APPROACH</t>
  </si>
  <si>
    <t>BagBuddy CPM</t>
  </si>
  <si>
    <t>Cost per 1000 verified ad views (100% engagement)</t>
  </si>
  <si>
    <t>BagBuddy Cost per Engagement</t>
  </si>
  <si>
    <t>Every view is 100% verified engagement</t>
  </si>
  <si>
    <t>Cost per Basket Influenced</t>
  </si>
  <si>
    <t>Brand spend per store transaction driven</t>
  </si>
  <si>
    <t>TRADITIONAL SOCIAL MEDIA (Meta/Facebook)</t>
  </si>
  <si>
    <t>Cost per 1000 impressions (not engagements!)</t>
  </si>
  <si>
    <t>Meta CTR</t>
  </si>
  <si>
    <t>Only 1% of viewers click/engage</t>
  </si>
  <si>
    <t>Meta Cost per Engagement</t>
  </si>
  <si>
    <t>True cost accounting for low engagement</t>
  </si>
  <si>
    <t>KSHIPRA VS META SAVINGS</t>
  </si>
  <si>
    <t>Cost Savings per Engagement</t>
  </si>
  <si>
    <t>Brands save this much vs Meta ads</t>
  </si>
  <si>
    <t>Engagement Quality</t>
  </si>
  <si>
    <t>100% Verified</t>
  </si>
  <si>
    <t>vs Meta's 1% CTR (99% wasted impressions)</t>
  </si>
  <si>
    <t>CPM Difference</t>
  </si>
  <si>
    <t>Higher CPM BUT 100% engagement vs 1%</t>
  </si>
  <si>
    <t>SCENARIO COMPARISON</t>
  </si>
  <si>
    <t>Metric</t>
  </si>
  <si>
    <t>Worst Case</t>
  </si>
  <si>
    <t>Base Case</t>
  </si>
  <si>
    <t>Best Case</t>
  </si>
  <si>
    <t>Unit</t>
  </si>
  <si>
    <t>Monthly Revenue</t>
  </si>
  <si>
    <t>Bags + ad revenue combined</t>
  </si>
  <si>
    <t>Monthly Margin</t>
  </si>
  <si>
    <t>Final profit after paying users</t>
  </si>
  <si>
    <t>Profit as % of revenue</t>
  </si>
  <si>
    <t>Verified ad impressions delivered</t>
  </si>
  <si>
    <t>Store Value Created</t>
  </si>
  <si>
    <t>Traffic driven to partner stores</t>
  </si>
  <si>
    <t>Reward Redemptions</t>
  </si>
  <si>
    <t>Value of rewards redeemed</t>
  </si>
  <si>
    <t>KEY ASSUMPTION DIFFERENCES</t>
  </si>
  <si>
    <t>Avg Monthly Ad Views/User</t>
  </si>
  <si>
    <t>User engagement level</t>
  </si>
  <si>
    <t>Platinum Users %</t>
  </si>
  <si>
    <t>Power user distribution</t>
  </si>
  <si>
    <t>Redemption Rate %</t>
  </si>
  <si>
    <t>Users visiting stores to redeem</t>
  </si>
  <si>
    <t>INVESTOR METRICS</t>
  </si>
  <si>
    <t>UNIT ECONOMICS</t>
  </si>
  <si>
    <t>Customer Acquisition Cost (CAC)</t>
  </si>
  <si>
    <t>Cost to acquire one new user (marketing)</t>
  </si>
  <si>
    <t>Avg User Lifetime (months)</t>
  </si>
  <si>
    <t>How long users stay active</t>
  </si>
  <si>
    <t>LIFETIME VALUE (LTV) CALCULATION</t>
  </si>
  <si>
    <t>LTV from Bag Sales</t>
  </si>
  <si>
    <t>Lifetime * monthly bag revenue</t>
  </si>
  <si>
    <t>LTV from Ad Revenue</t>
  </si>
  <si>
    <t>Lifetime * monthly ad margin</t>
  </si>
  <si>
    <t>Total LTV</t>
  </si>
  <si>
    <t>Total value per user over lifetime</t>
  </si>
  <si>
    <t>KEY RATIOS</t>
  </si>
  <si>
    <t>LTV:CAC Ratio</t>
  </si>
  <si>
    <t>&gt;3x = Good, &gt;5x = Great, &gt;10x = Excellent!</t>
  </si>
  <si>
    <t>Monthly Contribution Margin</t>
  </si>
  <si>
    <t>Profit per user per month</t>
  </si>
  <si>
    <t>Payback Period (months)</t>
  </si>
  <si>
    <t>&lt;6 months = Good, &lt;3 months = Great!</t>
  </si>
  <si>
    <t>ANNUAL PROJECTIONS</t>
  </si>
  <si>
    <t>Annual Revenue (12 months)</t>
  </si>
  <si>
    <t>Yearly top-line projection</t>
  </si>
  <si>
    <t>Annual Margin (12 months)</t>
  </si>
  <si>
    <t>Yearly profit projection</t>
  </si>
  <si>
    <t>Annual Store Value Created</t>
  </si>
  <si>
    <t>Yearly value driven to partner stores</t>
  </si>
  <si>
    <t>SENSITIVITY ANALYSIS</t>
  </si>
  <si>
    <t>SENSITIVITY: Monthly Ad Views per User</t>
  </si>
  <si>
    <t>EXPLANATION: This table shows how your business performs if users watch MORE or FEWER ads per month.</t>
  </si>
  <si>
    <t>Higher engagement = More ad revenue &amp; rewards. Watch the margin % - it stays stable because rewards scale with views.</t>
  </si>
  <si>
    <t>Ad Views</t>
  </si>
  <si>
    <t>Revenue</t>
  </si>
  <si>
    <t>Margin</t>
  </si>
  <si>
    <t>User Rewards</t>
  </si>
  <si>
    <t>SENSITIVITY: Bag Retail Price</t>
  </si>
  <si>
    <t>EXPLANATION: What happens if you price bags higher or lower? Higher price = more upfront revenue but may reduce volume.</t>
  </si>
  <si>
    <t>Key metric: User Net Cost. Negative = FREE bags after rewards! Watch this to keep bags attractive to users.</t>
  </si>
  <si>
    <t>Bag Price</t>
  </si>
  <si>
    <t>SENSITIVITY: Monthly Volume (Bags Sold)</t>
  </si>
  <si>
    <t>EXPLANATION: This shows your business at different scales - from small pilot (5K bags) to large scale (50K+ bags/month).</t>
  </si>
  <si>
    <t>Notice: Margin % stays constant! The model scales linearly. Store Value = traffic driven to partner stores (their revenue opportunity).</t>
  </si>
  <si>
    <t>Store Value</t>
  </si>
  <si>
    <t>VISUAL COMPARISONS &amp; INSIGHTS</t>
  </si>
  <si>
    <t>BRAND COST COMPARISON: Kshipra vs Meta</t>
  </si>
  <si>
    <t>Platform</t>
  </si>
  <si>
    <t>CPM</t>
  </si>
  <si>
    <t>Cost per Engagement</t>
  </si>
  <si>
    <t>Kshipra BagBuddy</t>
  </si>
  <si>
    <t>100% verified engagement</t>
  </si>
  <si>
    <t>Meta/Facebook</t>
  </si>
  <si>
    <t>Only 1% CTR (99% wasted)</t>
  </si>
  <si>
    <t>USER VALUE: How Users Get FREE Bags</t>
  </si>
  <si>
    <t>Component</t>
  </si>
  <si>
    <t>Amount</t>
  </si>
  <si>
    <t>Bag Price (Paid Upfront)</t>
  </si>
  <si>
    <t>What user pays</t>
  </si>
  <si>
    <t>Cash Rewards Earned</t>
  </si>
  <si>
    <t>Instant cash back</t>
  </si>
  <si>
    <t>Store Credit Earned</t>
  </si>
  <si>
    <t>Redeemable rewards</t>
  </si>
  <si>
    <t>Net Cost to User</t>
  </si>
  <si>
    <t>Negative = FREE!</t>
  </si>
  <si>
    <t>INVESTOR ATTRACTIVENESS</t>
  </si>
  <si>
    <t>Value</t>
  </si>
  <si>
    <t>Target</t>
  </si>
  <si>
    <t>Rating</t>
  </si>
  <si>
    <t>&gt;3x</t>
  </si>
  <si>
    <t>✅ EXCELLENT</t>
  </si>
  <si>
    <t>Payback Period</t>
  </si>
  <si>
    <t>&lt;6 months</t>
  </si>
  <si>
    <t>&gt;30%</t>
  </si>
  <si>
    <t>✅ STRONG</t>
  </si>
  <si>
    <t>VALUE TO PARTNER STORES</t>
  </si>
  <si>
    <t>Monthly Value</t>
  </si>
  <si>
    <t>Direct traffic to stores</t>
  </si>
  <si>
    <t>Standard purchases</t>
  </si>
  <si>
    <t>Incremental Basket Uplift</t>
  </si>
  <si>
    <t>Extra sales from rewards</t>
  </si>
  <si>
    <t>REFERENCES &amp; DATA SOURCES</t>
  </si>
  <si>
    <t>All assumptions in this model are based on verified industry data and published research.</t>
  </si>
  <si>
    <t>SOCIAL MEDIA ADVERTISING COSTS</t>
  </si>
  <si>
    <t>Value Used</t>
  </si>
  <si>
    <t>Source</t>
  </si>
  <si>
    <t>Year</t>
  </si>
  <si>
    <t>Meta/Facebook CPM</t>
  </si>
  <si>
    <t>$10.00</t>
  </si>
  <si>
    <t>Meta Business Help Center, WordStream Benchmark Report</t>
  </si>
  <si>
    <t>2024-2025</t>
  </si>
  <si>
    <t>$8.50</t>
  </si>
  <si>
    <t>TikTok Business, Social Media Examiner</t>
  </si>
  <si>
    <t>2024</t>
  </si>
  <si>
    <t>Industry Average CTR</t>
  </si>
  <si>
    <t>1.0%</t>
  </si>
  <si>
    <t>Facebook Ads Benchmarks by WordStream, HubSpot</t>
  </si>
  <si>
    <t>Note: Actual CPMs vary by industry, targeting, and season. E-commerce typically $7-15.</t>
  </si>
  <si>
    <t>CONSUMER BEHAVIOR &amp; ENGAGEMENT</t>
  </si>
  <si>
    <t>60%</t>
  </si>
  <si>
    <t>Industry avg for reward programs (Bond Brand Loyalty Report)</t>
  </si>
  <si>
    <t>75%</t>
  </si>
  <si>
    <t>Collinson Group Loyalty Census, COLLOQUY</t>
  </si>
  <si>
    <t>2023-2024</t>
  </si>
  <si>
    <t>8%</t>
  </si>
  <si>
    <t>Accenture Strategy: Rewards Program Impact Study</t>
  </si>
  <si>
    <t>2023</t>
  </si>
  <si>
    <t>15%</t>
  </si>
  <si>
    <t>Harvard Business Review: The Value of Keeping the Right Customers</t>
  </si>
  <si>
    <t>INVESTOR METRICS BENCHMARKS</t>
  </si>
  <si>
    <t>Good Target</t>
  </si>
  <si>
    <t>Industry Standard</t>
  </si>
  <si>
    <t>&gt;3:1</t>
  </si>
  <si>
    <t>SaaS Capital, Pacific Crest SaaS Survey</t>
  </si>
  <si>
    <t>3:1 = Good, 5:1 = Great, &gt;10:1 = Excellent</t>
  </si>
  <si>
    <t>CAC Payback Period</t>
  </si>
  <si>
    <t>KeyBanc Capital Markets, OpenView Partners</t>
  </si>
  <si>
    <t>&lt;6mo = Good, &lt;3mo = Excellent</t>
  </si>
  <si>
    <t>Customer Lifetime</t>
  </si>
  <si>
    <t>12 months</t>
  </si>
  <si>
    <t>Industry avg for consumer apps (Mixpanel, Amplitude)</t>
  </si>
  <si>
    <t>6-18 months typical range</t>
  </si>
  <si>
    <t>Gross Margin %</t>
  </si>
  <si>
    <t>SaaS benchmarks (though we're marketplace model)</t>
  </si>
  <si>
    <t>40-50% typical for tech platforms</t>
  </si>
  <si>
    <t>KEY RESEARCH &amp; REPORTS</t>
  </si>
  <si>
    <t>URL</t>
  </si>
  <si>
    <t>Description</t>
  </si>
  <si>
    <t>Meta Business Help Center</t>
  </si>
  <si>
    <t>https://www.facebook.com/business/help</t>
  </si>
  <si>
    <t>Official Facebook/Meta advertising documentation</t>
  </si>
  <si>
    <t>WordStream Ad Benchmarks</t>
  </si>
  <si>
    <t>https://www.wordstream.com/blog/ws/2022/03/21/facebook-ad-benchmarks</t>
  </si>
  <si>
    <t>Industry CPM and CTR benchmarks</t>
  </si>
  <si>
    <t>Bond Brand Loyalty Report</t>
  </si>
  <si>
    <t>https://bondbrandloyalty.com/reports/</t>
  </si>
  <si>
    <t>Annual loyalty program engagement statistics</t>
  </si>
  <si>
    <t>Collinson Loyalty Census</t>
  </si>
  <si>
    <t>https://www.collinsongroup.com/</t>
  </si>
  <si>
    <t>Global loyalty program redemption rates</t>
  </si>
  <si>
    <t>HubSpot Marketing Statistics</t>
  </si>
  <si>
    <t>https://www.hubspot.com/marketing-statistics</t>
  </si>
  <si>
    <t>Social media CTR benchmarks</t>
  </si>
  <si>
    <t>SaaS Capital Survey</t>
  </si>
  <si>
    <t>https://www.saas-capital.com/</t>
  </si>
  <si>
    <t>LTV:CAC and SaaS metrics benchmarks</t>
  </si>
  <si>
    <t>Pacific Crest SaaS Survey</t>
  </si>
  <si>
    <t>https://www.bvp.com/atlas/</t>
  </si>
  <si>
    <t>Annual SaaS company metrics (via BVP)</t>
  </si>
  <si>
    <t>Accenture Strategy</t>
  </si>
  <si>
    <t>https://www.accenture.com/</t>
  </si>
  <si>
    <t>Retail loyalty program impact studies</t>
  </si>
  <si>
    <t>METHODOLOGY NOTES</t>
  </si>
  <si>
    <t>1. All financial projections are conservative estimates based on current market data.</t>
  </si>
  <si>
    <t>2. CPM values represent median industry benchmarks; actual costs vary by targeting and competition.</t>
  </si>
  <si>
    <t>3. User engagement rates (60% active) account for natural drop-off in reward program participation.</t>
  </si>
  <si>
    <t>4. Redemption rates (75%) align with high-performing grocery/retail loyalty programs.</t>
  </si>
  <si>
    <t>5. Basket uplift (8%) is conservative compared to industry average of 10-15% for reward-driven purchases.</t>
  </si>
  <si>
    <t>6. Kshipra's verified engagement model eliminates ad fraud and bot traffic common in digital advertising.</t>
  </si>
  <si>
    <t>7. Traditional social media CTR of 1% means brands waste 99% of impression budget on non-engaged users.</t>
  </si>
  <si>
    <t>8. Our model assumes brands value verified engagement 20x higher than unverified impressions.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</si>
</sst>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\$0.00"/>
    <numFmt numFmtId="165" formatCode="\$#,##0.00"/>
    <numFmt numFmtId="166" formatCode="0.0%"/>
    <numFmt numFmtId="167" formatCode="\$#,##0"/>
    <numFmt numFmtId="168" formatCode="0.0&quot;x&quot;"/>
    <numFmt numFmtId="169" formatCode="0.0&quot; months&quot;"/>
    <numFmt numFmtId="170" formatCode="0.0&quot; mo&quot;"/>
  </numFmts>
  <fonts count="16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0"/>
      <name val="Calibri"/>
    </font>
    <font>
      <b/>
      <sz val="11"/>
      <name val="Calibri"/>
    </font>
    <font>
      <b/>
      <sz val="11"/>
      <color rgb="FF00AA00"/>
      <name val="Calibri"/>
    </font>
    <font>
      <b/>
      <sz val="11"/>
      <color rgb="FFFF6600"/>
      <name val="Calibri"/>
    </font>
    <font>
      <b/>
      <sz val="11"/>
      <color rgb="FF4472C4"/>
      <name val="Calibri"/>
    </font>
    <font>
      <b/>
      <sz val="11"/>
      <color rgb="FF00AA00"/>
      <name val="Calibri"/>
    </font>
    <font>
      <b/>
      <sz val="12"/>
      <color rgb="FF00AA00"/>
      <name val="Calibri"/>
    </font>
    <font>
      <b/>
      <sz val="14"/>
      <color rgb="FFFFFFFF"/>
      <name val="Calibri"/>
    </font>
    <font>
      <b/>
      <sz val="12"/>
      <name val="Calibri"/>
    </font>
    <font>
      <i/>
      <sz val="11"/>
      <color rgb="FF666666"/>
      <name val="Calibri"/>
    </font>
    <font>
      <b/>
      <sz val="11"/>
      <name val="Calibri"/>
    </font>
    <font>
      <i/>
      <sz val="9"/>
      <color rgb="FF666666"/>
      <name val="Calibri"/>
    </font>
    <font>
      <u/>
      <sz val="11"/>
      <color rgb="FF0563C1"/>
      <name val="Calibri"/>
    </font>
    <font>
      <sz val="9"/>
      <name val="Calibri"/>
    </font>
  </fonts>
  <fills count="6">
    <fill>
      <patternFill patternType="none"/>
    </fill>
    <fill>
      <patternFill patternType="gray125"/>
    </fill>
    <fill>
      <patternFill patternType="solid">
        <fgColor rgb="FFFF6600"/>
        <bgColor rgb="FFFF6600"/>
      </patternFill>
    </fill>
    <fill>
      <patternFill patternType="solid">
        <fgColor rgb="FFD3D3D3"/>
        <bgColor rgb="FFD3D3D3"/>
      </patternFill>
    </fill>
    <fill>
      <patternFill patternType="solid">
        <fgColor rgb="FFFFFF00"/>
        <bgColor rgb="FFFFFF00"/>
      </patternFill>
    </fill>
    <fill>
      <patternFill patternType="solid">
        <fgColor rgb="FF2E75B6"/>
        <bgColor rgb="FF2E75B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1">
    <xf numFmtId="0" fontId="0" fillId="0" borderId="0" xfId="0"/>
    <xf numFmtId="0" fontId="2" fillId="3" borderId="0" xfId="0" applyFont="1" applyFill="1"/>
    <xf numFmtId="167" fontId="10" fillId="0" borderId="0" xfId="0" applyNumberFormat="1" applyFont="1"/>
    <xf numFmtId="167" fontId="8" fillId="0" borderId="0" xfId="0" applyNumberFormat="1" applyFont="1"/>
    <xf numFmtId="166" fontId="10" fillId="0" borderId="0" xfId="0" applyNumberFormat="1" applyFont="1"/>
    <xf numFmtId="164" fontId="10" fillId="0" borderId="0" xfId="0" applyNumberFormat="1" applyFont="1"/>
    <xf numFmtId="164" fontId="3" fillId="4" borderId="0" xfId="0" applyNumberFormat="1" applyFont="1" applyFill="1"/>
    <xf numFmtId="3" fontId="3" fillId="4" borderId="0" xfId="0" applyNumberFormat="1" applyFont="1" applyFill="1"/>
    <xf numFmtId="0" fontId="3" fillId="4" borderId="0" xfId="0" applyFont="1" applyFill="1"/>
    <xf numFmtId="1" fontId="3" fillId="4" borderId="0" xfId="0" applyNumberFormat="1" applyFont="1" applyFill="1"/>
    <xf numFmtId="3" fontId="0" fillId="0" borderId="0" xfId="0" applyNumberFormat="1"/>
    <xf numFmtId="165" fontId="0" fillId="0" borderId="0" xfId="0" applyNumberFormat="1"/>
    <xf numFmtId="165" fontId="3" fillId="0" borderId="0" xfId="0" applyNumberFormat="1" applyFont="1"/>
    <xf numFmtId="165" fontId="4" fillId="0" borderId="0" xfId="0" applyNumberFormat="1" applyFont="1"/>
    <xf numFmtId="166" fontId="3" fillId="0" borderId="0" xfId="0" applyNumberFormat="1" applyFont="1"/>
    <xf numFmtId="164" fontId="0" fillId="0" borderId="0" xfId="0" applyNumberFormat="1"/>
    <xf numFmtId="164" fontId="3" fillId="0" borderId="0" xfId="0" applyNumberFormat="1" applyFont="1"/>
    <xf numFmtId="166" fontId="0" fillId="0" borderId="0" xfId="0" applyNumberFormat="1"/>
    <xf numFmtId="166" fontId="8" fillId="0" borderId="0" xfId="0" applyNumberFormat="1" applyFont="1"/>
    <xf numFmtId="0" fontId="4" fillId="0" borderId="0" xfId="0" applyFont="1"/>
    <xf numFmtId="167" fontId="0" fillId="0" borderId="0" xfId="0" applyNumberFormat="1"/>
    <xf numFmtId="168" fontId="12" fillId="0" borderId="0" xfId="0" applyNumberFormat="1" applyFont="1"/>
    <xf numFmtId="169" fontId="12" fillId="0" borderId="0" xfId="0" applyNumberFormat="1" applyFont="1"/>
    <xf numFmtId="167" fontId="4" fillId="0" borderId="0" xfId="0" applyNumberFormat="1" applyFont="1"/>
    <xf numFmtId="164" fontId="4" fillId="0" borderId="0" xfId="0" applyNumberFormat="1" applyFont="1"/>
    <xf numFmtId="168" fontId="0" fillId="0" borderId="0" xfId="0" applyNumberFormat="1"/>
    <xf numFmtId="170" fontId="0" fillId="0" borderId="0" xfId="0" applyNumberFormat="1"/>
    <xf numFmtId="0" fontId="3" fillId="0" borderId="0" xfId="0" applyFont="1"/>
    <xf numFmtId="0" fontId="14" fillId="0" borderId="0" xfId="0" applyFont="1"/>
    <xf numFmtId="0" fontId="9" fillId="2" borderId="0" xfId="0" applyFont="1" applyFill="1"/>
    <xf numFmtId="0" fontId="0" fillId="0" borderId="0" xfId="0"/>
    <xf numFmtId="0" fontId="2" fillId="3" borderId="0" xfId="0" applyFont="1" applyFill="1"/>
    <xf numFmtId="0" fontId="11" fillId="0" borderId="0" xfId="0" applyFont="1"/>
    <xf numFmtId="0" fontId="1" fillId="2" borderId="0" xfId="0" applyFont="1" applyFill="1" applyAlignment="1">
      <alignment horizontal="left" vertical="center"/>
    </xf>
    <xf numFmtId="0" fontId="1" fillId="5" borderId="0" xfId="0" applyFont="1" applyFill="1" applyAlignment="1">
      <alignment horizontal="left" vertical="center"/>
    </xf>
    <xf numFmtId="0" fontId="7" fillId="0" borderId="0" xfId="0" applyFont="1"/>
    <xf numFmtId="0" fontId="6" fillId="0" borderId="0" xfId="0" applyFont="1"/>
    <xf numFmtId="0" fontId="5" fillId="0" borderId="0" xfId="0" applyFont="1"/>
    <xf numFmtId="0" fontId="12" fillId="0" borderId="0" xfId="0" applyFont="1"/>
    <xf numFmtId="0" fontId="15" fillId="0" borderId="0" xfId="0" applyFont="1"/>
    <xf numFmtId="0" fontId="1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t>Cost per Engagement: Kshipra Saves 80%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'Visual Comparisons'!$C$4</c:f>
              <c:strCache>
                <c:ptCount val="1"/>
                <c:pt idx="0">
                  <c:v>Cost per Engagement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'Visual Comparisons'!$A$5:$A$6</c:f>
              <c:strCache>
                <c:ptCount val="2"/>
                <c:pt idx="0">
                  <c:v>Kshipra BagBuddy</c:v>
                </c:pt>
                <c:pt idx="1">
                  <c:v>Meta/Facebook</c:v>
                </c:pt>
              </c:strCache>
            </c:strRef>
          </c:cat>
          <c:val>
            <c:numRef>
              <c:f>'Visual Comparisons'!$C$5:$C$6</c:f>
              <c:numCache>
                <c:formatCode>General</c:formatCode>
                <c:ptCount val="2"/>
                <c:pt idx="0">
                  <c:v>0.2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542-437F-9777-B6518A3F49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Platform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Cost ($)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1"/>
  <c:chart>
    <c:title>
      <c:tx>
        <c:rich>
          <a:bodyPr/>
          <a:lstStyle/>
          <a:p>
            <a:pPr>
              <a:defRPr/>
            </a:pPr>
            <a:r>
              <a:t>User Gets Bags for FREE (or Even EARNS Money!)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'Visual Comparisons'!$B$20</c:f>
              <c:strCache>
                <c:ptCount val="1"/>
                <c:pt idx="0">
                  <c:v>Amount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'Visual Comparisons'!$A$21:$A$24</c:f>
              <c:strCache>
                <c:ptCount val="4"/>
                <c:pt idx="0">
                  <c:v>Bag Price (Paid Upfront)</c:v>
                </c:pt>
                <c:pt idx="1">
                  <c:v>Cash Rewards Earned</c:v>
                </c:pt>
                <c:pt idx="2">
                  <c:v>Store Credit Earned</c:v>
                </c:pt>
                <c:pt idx="3">
                  <c:v>Net Cost to User</c:v>
                </c:pt>
              </c:strCache>
            </c:strRef>
          </c:cat>
          <c:val>
            <c:numRef>
              <c:f>'Visual Comparisons'!$B$21:$B$24</c:f>
              <c:numCache>
                <c:formatCode>\$0.00</c:formatCode>
                <c:ptCount val="4"/>
                <c:pt idx="0">
                  <c:v>0.4</c:v>
                </c:pt>
                <c:pt idx="1">
                  <c:v>-0.18</c:v>
                </c:pt>
                <c:pt idx="2">
                  <c:v>-0.18</c:v>
                </c:pt>
                <c:pt idx="3">
                  <c:v>4.0000000000000036E-2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8AB-42FF-B7DA-7D7D138989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Components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Amount ($)</a:t>
                </a:r>
              </a:p>
            </c:rich>
          </c:tx>
          <c:overlay val="1"/>
        </c:title>
        <c:numFmt formatCode="\$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t>Monthly Store Traffic Value Created</a:t>
            </a:r>
          </a:p>
        </c:rich>
      </c:tx>
      <c:overlay val="1"/>
    </c:title>
    <c:autoTitleDeleted val="0"/>
    <c:plotArea>
      <c:layout/>
      <c:pieChart>
        <c:varyColors val="1"/>
        <c:ser>
          <c:idx val="0"/>
          <c:order val="0"/>
          <c:tx>
            <c:strRef>
              <c:f>'Visual Comparisons'!$B$44</c:f>
              <c:strCache>
                <c:ptCount val="1"/>
                <c:pt idx="0">
                  <c:v>Monthly Value</c:v>
                </c:pt>
              </c:strCache>
            </c:strRef>
          </c:tx>
          <c:spPr>
            <a:ln>
              <a:prstDash val="solid"/>
            </a:ln>
          </c:spPr>
          <c:cat>
            <c:strRef>
              <c:f>'Visual Comparisons'!$A$45:$A$47</c:f>
              <c:strCache>
                <c:ptCount val="3"/>
                <c:pt idx="0">
                  <c:v>Reward Redemptions</c:v>
                </c:pt>
                <c:pt idx="1">
                  <c:v>Baseline Basket Value</c:v>
                </c:pt>
                <c:pt idx="2">
                  <c:v>Incremental Basket Uplift</c:v>
                </c:pt>
              </c:strCache>
            </c:strRef>
          </c:cat>
          <c:val>
            <c:numRef>
              <c:f>'Visual Comparisons'!$B$45:$B$47</c:f>
              <c:numCache>
                <c:formatCode>\$#,##0</c:formatCode>
                <c:ptCount val="3"/>
                <c:pt idx="0">
                  <c:v>3240</c:v>
                </c:pt>
                <c:pt idx="1">
                  <c:v>93750</c:v>
                </c:pt>
                <c:pt idx="2">
                  <c:v>7500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A76-4C23-91DF-3D1ABED9D1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3</xdr:row>
      <xdr:rowOff>0</xdr:rowOff>
    </xdr:from>
    <xdr:ext cx="5400000" cy="36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5</xdr:col>
      <xdr:colOff>0</xdr:colOff>
      <xdr:row>19</xdr:row>
      <xdr:rowOff>0</xdr:rowOff>
    </xdr:from>
    <xdr:ext cx="5400000" cy="36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5</xdr:col>
      <xdr:colOff>0</xdr:colOff>
      <xdr:row>43</xdr:row>
      <xdr:rowOff>0</xdr:rowOff>
    </xdr:from>
    <xdr:ext cx="5400000" cy="432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0"/>
  <sheetViews>
    <sheetView workbookViewId="0">
      <selection sqref="A1:D1"/>
    </sheetView>
  </sheetViews>
  <sheetFormatPr defaultRowHeight="14.4" x14ac:dyDescent="0.3"/>
  <cols>
    <col min="1" max="1" width="25" customWidth="1"/>
    <col min="2" max="2" width="18" customWidth="1"/>
    <col min="3" max="3" width="35" customWidth="1"/>
    <col min="4" max="4" width="15" customWidth="1"/>
  </cols>
  <sheetData>
    <row r="1" spans="1:4" ht="18" x14ac:dyDescent="0.35">
      <c r="A1" s="29" t="s">
        <v>0</v>
      </c>
      <c r="B1" s="30"/>
      <c r="C1" s="30"/>
      <c r="D1" s="30"/>
    </row>
    <row r="3" spans="1:4" x14ac:dyDescent="0.3">
      <c r="A3" s="31" t="s">
        <v>1</v>
      </c>
      <c r="B3" s="30"/>
      <c r="C3" s="30"/>
      <c r="D3" s="30"/>
    </row>
    <row r="4" spans="1:4" ht="15.6" x14ac:dyDescent="0.3">
      <c r="A4" t="s">
        <v>2</v>
      </c>
      <c r="B4" s="2">
        <f>Calculations!B9</f>
        <v>9200</v>
      </c>
      <c r="C4" t="s">
        <v>3</v>
      </c>
    </row>
    <row r="5" spans="1:4" ht="15.6" x14ac:dyDescent="0.3">
      <c r="A5" t="s">
        <v>4</v>
      </c>
      <c r="B5" s="3">
        <f>Calculations!B14</f>
        <v>4880</v>
      </c>
      <c r="C5" t="s">
        <v>5</v>
      </c>
    </row>
    <row r="6" spans="1:4" ht="15.6" x14ac:dyDescent="0.3">
      <c r="A6" t="s">
        <v>6</v>
      </c>
      <c r="B6" s="4">
        <f>Calculations!B14/Calculations!B9</f>
        <v>0.5304347826086957</v>
      </c>
      <c r="C6" t="s">
        <v>7</v>
      </c>
    </row>
    <row r="8" spans="1:4" ht="15.6" x14ac:dyDescent="0.3">
      <c r="A8" t="s">
        <v>8</v>
      </c>
      <c r="B8" s="5">
        <f>Calculations!B28</f>
        <v>4.0000000000000036E-2</v>
      </c>
      <c r="C8" t="s">
        <v>9</v>
      </c>
    </row>
    <row r="10" spans="1:4" x14ac:dyDescent="0.3">
      <c r="A10" s="32" t="s">
        <v>10</v>
      </c>
      <c r="B10" s="30"/>
      <c r="C10" s="30"/>
      <c r="D10" s="30"/>
    </row>
  </sheetData>
  <mergeCells count="3">
    <mergeCell ref="A1:D1"/>
    <mergeCell ref="A3:D3"/>
    <mergeCell ref="A10:D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6"/>
  <sheetViews>
    <sheetView tabSelected="1" workbookViewId="0">
      <selection activeCell="B6" sqref="B6"/>
    </sheetView>
  </sheetViews>
  <sheetFormatPr defaultRowHeight="14.4" x14ac:dyDescent="0.3"/>
  <cols>
    <col min="1" max="1" width="32" customWidth="1"/>
    <col min="2" max="2" width="15" customWidth="1"/>
    <col min="3" max="3" width="8" customWidth="1"/>
    <col min="4" max="4" width="55" customWidth="1"/>
  </cols>
  <sheetData>
    <row r="1" spans="1:4" x14ac:dyDescent="0.3">
      <c r="A1" s="33" t="s">
        <v>11</v>
      </c>
      <c r="B1" s="30"/>
      <c r="C1" s="30"/>
      <c r="D1" s="30"/>
    </row>
    <row r="3" spans="1:4" x14ac:dyDescent="0.3">
      <c r="A3" s="31" t="s">
        <v>12</v>
      </c>
      <c r="B3" s="30"/>
      <c r="C3" s="30"/>
      <c r="D3" s="30"/>
    </row>
    <row r="4" spans="1:4" x14ac:dyDescent="0.3">
      <c r="A4" t="s">
        <v>13</v>
      </c>
      <c r="B4" s="6">
        <v>0.4</v>
      </c>
      <c r="C4" t="s">
        <v>14</v>
      </c>
      <c r="D4" t="s">
        <v>15</v>
      </c>
    </row>
    <row r="5" spans="1:4" x14ac:dyDescent="0.3">
      <c r="A5" t="s">
        <v>16</v>
      </c>
      <c r="B5" s="7">
        <v>5000</v>
      </c>
      <c r="C5" t="s">
        <v>17</v>
      </c>
      <c r="D5" t="s">
        <v>18</v>
      </c>
    </row>
    <row r="6" spans="1:4" x14ac:dyDescent="0.3">
      <c r="A6" t="s">
        <v>19</v>
      </c>
      <c r="B6" s="8">
        <v>10</v>
      </c>
      <c r="C6" t="s">
        <v>20</v>
      </c>
      <c r="D6" t="s">
        <v>21</v>
      </c>
    </row>
    <row r="8" spans="1:4" x14ac:dyDescent="0.3">
      <c r="A8" s="31" t="s">
        <v>22</v>
      </c>
      <c r="B8" s="30"/>
      <c r="C8" s="30"/>
      <c r="D8" s="30"/>
    </row>
    <row r="9" spans="1:4" x14ac:dyDescent="0.3">
      <c r="A9" t="s">
        <v>23</v>
      </c>
      <c r="B9" s="9">
        <v>4</v>
      </c>
      <c r="C9" t="s">
        <v>24</v>
      </c>
      <c r="D9" t="s">
        <v>25</v>
      </c>
    </row>
    <row r="10" spans="1:4" x14ac:dyDescent="0.3">
      <c r="A10" t="s">
        <v>26</v>
      </c>
      <c r="B10" s="8">
        <v>10</v>
      </c>
      <c r="C10" t="s">
        <v>20</v>
      </c>
      <c r="D10" t="s">
        <v>27</v>
      </c>
    </row>
    <row r="12" spans="1:4" x14ac:dyDescent="0.3">
      <c r="A12" s="31" t="s">
        <v>28</v>
      </c>
      <c r="B12" s="30"/>
      <c r="C12" s="30"/>
      <c r="D12" s="30"/>
    </row>
    <row r="13" spans="1:4" x14ac:dyDescent="0.3">
      <c r="A13" t="s">
        <v>29</v>
      </c>
      <c r="B13" s="6">
        <v>0.2</v>
      </c>
      <c r="C13" t="s">
        <v>14</v>
      </c>
      <c r="D13" t="s">
        <v>30</v>
      </c>
    </row>
    <row r="14" spans="1:4" x14ac:dyDescent="0.3">
      <c r="A14" t="s">
        <v>31</v>
      </c>
      <c r="B14" s="6">
        <v>0.06</v>
      </c>
      <c r="C14" t="s">
        <v>14</v>
      </c>
      <c r="D14" t="s">
        <v>32</v>
      </c>
    </row>
    <row r="15" spans="1:4" x14ac:dyDescent="0.3">
      <c r="A15" t="s">
        <v>33</v>
      </c>
      <c r="B15" s="6">
        <v>0.06</v>
      </c>
      <c r="C15" t="s">
        <v>14</v>
      </c>
      <c r="D15" t="s">
        <v>34</v>
      </c>
    </row>
    <row r="16" spans="1:4" x14ac:dyDescent="0.3">
      <c r="A16" t="s">
        <v>35</v>
      </c>
      <c r="B16" s="6">
        <v>0.08</v>
      </c>
      <c r="C16" t="s">
        <v>14</v>
      </c>
      <c r="D16" t="s">
        <v>36</v>
      </c>
    </row>
    <row r="18" spans="1:4" x14ac:dyDescent="0.3">
      <c r="A18" s="31" t="s">
        <v>37</v>
      </c>
      <c r="B18" s="30"/>
      <c r="C18" s="30"/>
      <c r="D18" s="30"/>
    </row>
    <row r="19" spans="1:4" x14ac:dyDescent="0.3">
      <c r="A19" t="s">
        <v>38</v>
      </c>
      <c r="B19" s="8">
        <v>60</v>
      </c>
      <c r="C19" t="s">
        <v>20</v>
      </c>
      <c r="D19" t="s">
        <v>39</v>
      </c>
    </row>
    <row r="21" spans="1:4" x14ac:dyDescent="0.3">
      <c r="A21" s="31" t="s">
        <v>40</v>
      </c>
      <c r="B21" s="30"/>
      <c r="C21" s="30"/>
      <c r="D21" s="30"/>
    </row>
    <row r="22" spans="1:4" x14ac:dyDescent="0.3">
      <c r="A22" t="s">
        <v>41</v>
      </c>
      <c r="B22" s="9">
        <v>3</v>
      </c>
      <c r="C22" t="s">
        <v>42</v>
      </c>
      <c r="D22" t="s">
        <v>43</v>
      </c>
    </row>
    <row r="23" spans="1:4" x14ac:dyDescent="0.3">
      <c r="A23" t="s">
        <v>44</v>
      </c>
      <c r="B23" s="9">
        <v>12</v>
      </c>
      <c r="C23" t="s">
        <v>45</v>
      </c>
      <c r="D23" t="s">
        <v>46</v>
      </c>
    </row>
    <row r="25" spans="1:4" x14ac:dyDescent="0.3">
      <c r="A25" s="31" t="s">
        <v>47</v>
      </c>
      <c r="B25" s="30"/>
      <c r="C25" s="30"/>
      <c r="D25" s="30"/>
    </row>
    <row r="26" spans="1:4" x14ac:dyDescent="0.3">
      <c r="A26" t="s">
        <v>48</v>
      </c>
      <c r="B26" s="8">
        <v>1</v>
      </c>
      <c r="D26" t="s">
        <v>49</v>
      </c>
    </row>
    <row r="27" spans="1:4" x14ac:dyDescent="0.3">
      <c r="A27" t="s">
        <v>50</v>
      </c>
      <c r="B27" s="8">
        <v>3</v>
      </c>
      <c r="D27" t="s">
        <v>51</v>
      </c>
    </row>
    <row r="28" spans="1:4" x14ac:dyDescent="0.3">
      <c r="A28" t="s">
        <v>52</v>
      </c>
      <c r="B28" s="8">
        <v>7</v>
      </c>
      <c r="D28" t="s">
        <v>53</v>
      </c>
    </row>
    <row r="29" spans="1:4" x14ac:dyDescent="0.3">
      <c r="A29" t="s">
        <v>54</v>
      </c>
      <c r="B29" s="6">
        <v>1</v>
      </c>
      <c r="D29" t="s">
        <v>55</v>
      </c>
    </row>
    <row r="31" spans="1:4" x14ac:dyDescent="0.3">
      <c r="A31" s="31" t="s">
        <v>56</v>
      </c>
      <c r="B31" s="30"/>
      <c r="C31" s="30"/>
      <c r="D31" s="30"/>
    </row>
    <row r="32" spans="1:4" x14ac:dyDescent="0.3">
      <c r="A32" t="s">
        <v>57</v>
      </c>
      <c r="B32" s="8">
        <v>60</v>
      </c>
      <c r="C32" t="s">
        <v>20</v>
      </c>
      <c r="D32" t="s">
        <v>58</v>
      </c>
    </row>
    <row r="33" spans="1:4" x14ac:dyDescent="0.3">
      <c r="A33" t="s">
        <v>59</v>
      </c>
      <c r="B33" s="8">
        <v>25</v>
      </c>
      <c r="C33" t="s">
        <v>20</v>
      </c>
      <c r="D33" t="s">
        <v>60</v>
      </c>
    </row>
    <row r="34" spans="1:4" x14ac:dyDescent="0.3">
      <c r="A34" t="s">
        <v>61</v>
      </c>
      <c r="B34" s="8">
        <v>12</v>
      </c>
      <c r="C34" t="s">
        <v>20</v>
      </c>
      <c r="D34" t="s">
        <v>62</v>
      </c>
    </row>
    <row r="35" spans="1:4" x14ac:dyDescent="0.3">
      <c r="A35" t="s">
        <v>63</v>
      </c>
      <c r="B35" s="8">
        <v>3</v>
      </c>
      <c r="C35" t="s">
        <v>20</v>
      </c>
      <c r="D35" t="s">
        <v>64</v>
      </c>
    </row>
    <row r="37" spans="1:4" x14ac:dyDescent="0.3">
      <c r="A37" s="31" t="s">
        <v>65</v>
      </c>
      <c r="B37" s="30"/>
      <c r="C37" s="30"/>
      <c r="D37" s="30"/>
    </row>
    <row r="38" spans="1:4" x14ac:dyDescent="0.3">
      <c r="A38" t="s">
        <v>66</v>
      </c>
      <c r="B38" s="8">
        <v>75</v>
      </c>
      <c r="C38" t="s">
        <v>20</v>
      </c>
      <c r="D38" t="s">
        <v>67</v>
      </c>
    </row>
    <row r="39" spans="1:4" x14ac:dyDescent="0.3">
      <c r="A39" t="s">
        <v>68</v>
      </c>
      <c r="B39" s="8">
        <v>15</v>
      </c>
      <c r="C39" t="s">
        <v>20</v>
      </c>
      <c r="D39" t="s">
        <v>69</v>
      </c>
    </row>
    <row r="40" spans="1:4" x14ac:dyDescent="0.3">
      <c r="A40" t="s">
        <v>70</v>
      </c>
      <c r="B40" s="8">
        <v>8</v>
      </c>
      <c r="C40" t="s">
        <v>20</v>
      </c>
      <c r="D40" t="s">
        <v>71</v>
      </c>
    </row>
    <row r="41" spans="1:4" x14ac:dyDescent="0.3">
      <c r="A41" t="s">
        <v>72</v>
      </c>
      <c r="B41" s="6">
        <v>25</v>
      </c>
      <c r="C41" t="s">
        <v>14</v>
      </c>
      <c r="D41" t="s">
        <v>73</v>
      </c>
    </row>
    <row r="43" spans="1:4" x14ac:dyDescent="0.3">
      <c r="A43" s="31" t="s">
        <v>74</v>
      </c>
      <c r="B43" s="30"/>
      <c r="C43" s="30"/>
      <c r="D43" s="30"/>
    </row>
    <row r="44" spans="1:4" x14ac:dyDescent="0.3">
      <c r="A44" t="s">
        <v>75</v>
      </c>
      <c r="B44" s="6">
        <v>10</v>
      </c>
      <c r="C44" t="s">
        <v>14</v>
      </c>
      <c r="D44" t="s">
        <v>76</v>
      </c>
    </row>
    <row r="45" spans="1:4" x14ac:dyDescent="0.3">
      <c r="A45" t="s">
        <v>77</v>
      </c>
      <c r="B45" s="6">
        <v>8.5</v>
      </c>
      <c r="C45" t="s">
        <v>14</v>
      </c>
      <c r="D45" t="s">
        <v>78</v>
      </c>
    </row>
    <row r="46" spans="1:4" x14ac:dyDescent="0.3">
      <c r="A46" t="s">
        <v>79</v>
      </c>
      <c r="B46" s="8">
        <v>1</v>
      </c>
      <c r="C46" t="s">
        <v>20</v>
      </c>
      <c r="D46" t="s">
        <v>80</v>
      </c>
    </row>
  </sheetData>
  <mergeCells count="10">
    <mergeCell ref="A43:D43"/>
    <mergeCell ref="A1:D1"/>
    <mergeCell ref="A37:D37"/>
    <mergeCell ref="A18:D18"/>
    <mergeCell ref="A8:D8"/>
    <mergeCell ref="A31:D31"/>
    <mergeCell ref="A12:D12"/>
    <mergeCell ref="A3:D3"/>
    <mergeCell ref="A21:D21"/>
    <mergeCell ref="A25:D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51"/>
  <sheetViews>
    <sheetView workbookViewId="0"/>
  </sheetViews>
  <sheetFormatPr defaultRowHeight="14.4" x14ac:dyDescent="0.3"/>
  <cols>
    <col min="1" max="1" width="35" customWidth="1"/>
    <col min="2" max="2" width="18" customWidth="1"/>
    <col min="3" max="3" width="50" customWidth="1"/>
  </cols>
  <sheetData>
    <row r="1" spans="1:3" x14ac:dyDescent="0.3">
      <c r="A1" s="34" t="s">
        <v>81</v>
      </c>
      <c r="B1" s="30"/>
      <c r="C1" s="30"/>
    </row>
    <row r="3" spans="1:3" x14ac:dyDescent="0.3">
      <c r="A3" s="31" t="s">
        <v>82</v>
      </c>
      <c r="B3" s="30"/>
      <c r="C3" s="30"/>
    </row>
    <row r="4" spans="1:3" x14ac:dyDescent="0.3">
      <c r="A4" t="s">
        <v>83</v>
      </c>
      <c r="B4" s="10">
        <f>Assumptions!B5</f>
        <v>5000</v>
      </c>
      <c r="C4" t="s">
        <v>84</v>
      </c>
    </row>
    <row r="5" spans="1:3" x14ac:dyDescent="0.3">
      <c r="A5" t="s">
        <v>85</v>
      </c>
      <c r="B5" s="10">
        <f>Assumptions!B5*Assumptions!B19/100</f>
        <v>3000</v>
      </c>
      <c r="C5" t="s">
        <v>86</v>
      </c>
    </row>
    <row r="6" spans="1:3" x14ac:dyDescent="0.3">
      <c r="A6" t="s">
        <v>87</v>
      </c>
      <c r="B6" s="11">
        <f>Assumptions!B5*Assumptions!B4</f>
        <v>2000</v>
      </c>
      <c r="C6" t="s">
        <v>88</v>
      </c>
    </row>
    <row r="7" spans="1:3" x14ac:dyDescent="0.3">
      <c r="A7" t="s">
        <v>89</v>
      </c>
      <c r="B7" s="10">
        <f>B5*Assumptions!B23</f>
        <v>36000</v>
      </c>
      <c r="C7" t="s">
        <v>90</v>
      </c>
    </row>
    <row r="8" spans="1:3" x14ac:dyDescent="0.3">
      <c r="A8" t="s">
        <v>91</v>
      </c>
      <c r="B8" s="11">
        <f>B7*Assumptions!B13</f>
        <v>7200</v>
      </c>
      <c r="C8" t="s">
        <v>92</v>
      </c>
    </row>
    <row r="9" spans="1:3" x14ac:dyDescent="0.3">
      <c r="A9" t="s">
        <v>93</v>
      </c>
      <c r="B9" s="12">
        <f>B6+B8</f>
        <v>9200</v>
      </c>
      <c r="C9" t="s">
        <v>94</v>
      </c>
    </row>
    <row r="11" spans="1:3" x14ac:dyDescent="0.3">
      <c r="A11" t="s">
        <v>95</v>
      </c>
      <c r="B11" s="11">
        <f>B7*Assumptions!B14</f>
        <v>2160</v>
      </c>
      <c r="C11" t="s">
        <v>96</v>
      </c>
    </row>
    <row r="12" spans="1:3" x14ac:dyDescent="0.3">
      <c r="A12" t="s">
        <v>97</v>
      </c>
      <c r="B12" s="11">
        <f>B7*Assumptions!B15</f>
        <v>2160</v>
      </c>
      <c r="C12" t="s">
        <v>98</v>
      </c>
    </row>
    <row r="13" spans="1:3" x14ac:dyDescent="0.3">
      <c r="A13" t="s">
        <v>99</v>
      </c>
      <c r="B13" s="11">
        <f>B7*Assumptions!B16</f>
        <v>2880</v>
      </c>
      <c r="C13" t="s">
        <v>100</v>
      </c>
    </row>
    <row r="14" spans="1:3" x14ac:dyDescent="0.3">
      <c r="A14" t="s">
        <v>101</v>
      </c>
      <c r="B14" s="13">
        <f>B6+B13</f>
        <v>4880</v>
      </c>
      <c r="C14" t="s">
        <v>102</v>
      </c>
    </row>
    <row r="15" spans="1:3" x14ac:dyDescent="0.3">
      <c r="A15" t="s">
        <v>103</v>
      </c>
      <c r="B15" s="14">
        <f>B14/B9</f>
        <v>0.5304347826086957</v>
      </c>
      <c r="C15" t="s">
        <v>104</v>
      </c>
    </row>
    <row r="17" spans="1:3" x14ac:dyDescent="0.3">
      <c r="A17" s="31" t="s">
        <v>105</v>
      </c>
      <c r="B17" s="30"/>
      <c r="C17" s="30"/>
    </row>
    <row r="18" spans="1:3" x14ac:dyDescent="0.3">
      <c r="A18" t="s">
        <v>106</v>
      </c>
      <c r="B18">
        <f>Assumptions!B23</f>
        <v>12</v>
      </c>
      <c r="C18" t="s">
        <v>107</v>
      </c>
    </row>
    <row r="19" spans="1:3" x14ac:dyDescent="0.3">
      <c r="A19" t="s">
        <v>108</v>
      </c>
      <c r="B19" s="15">
        <f>Assumptions!B23*Assumptions!B13</f>
        <v>2.4000000000000004</v>
      </c>
      <c r="C19" t="s">
        <v>109</v>
      </c>
    </row>
    <row r="20" spans="1:3" x14ac:dyDescent="0.3">
      <c r="A20" t="s">
        <v>110</v>
      </c>
      <c r="B20" s="15">
        <f>Assumptions!B23*(Assumptions!B14+Assumptions!B15)</f>
        <v>1.44</v>
      </c>
      <c r="C20" t="s">
        <v>111</v>
      </c>
    </row>
    <row r="21" spans="1:3" x14ac:dyDescent="0.3">
      <c r="A21" t="s">
        <v>112</v>
      </c>
      <c r="B21" s="15">
        <f>Assumptions!B23*Assumptions!B16</f>
        <v>0.96</v>
      </c>
      <c r="C21" t="s">
        <v>113</v>
      </c>
    </row>
    <row r="23" spans="1:3" x14ac:dyDescent="0.3">
      <c r="A23" s="31" t="s">
        <v>114</v>
      </c>
      <c r="B23" s="30"/>
      <c r="C23" s="30"/>
    </row>
    <row r="24" spans="1:3" x14ac:dyDescent="0.3">
      <c r="A24" t="s">
        <v>115</v>
      </c>
      <c r="B24" s="15">
        <f>Assumptions!B4</f>
        <v>0.4</v>
      </c>
      <c r="C24" t="s">
        <v>116</v>
      </c>
    </row>
    <row r="25" spans="1:3" x14ac:dyDescent="0.3">
      <c r="A25" t="s">
        <v>117</v>
      </c>
      <c r="B25">
        <f>Assumptions!B22</f>
        <v>3</v>
      </c>
      <c r="C25" t="s">
        <v>118</v>
      </c>
    </row>
    <row r="26" spans="1:3" x14ac:dyDescent="0.3">
      <c r="A26" t="s">
        <v>119</v>
      </c>
      <c r="B26" s="15">
        <f>Assumptions!B22*Assumptions!B13</f>
        <v>0.60000000000000009</v>
      </c>
      <c r="C26" t="s">
        <v>120</v>
      </c>
    </row>
    <row r="27" spans="1:3" x14ac:dyDescent="0.3">
      <c r="A27" t="s">
        <v>121</v>
      </c>
      <c r="B27" s="15">
        <f>Assumptions!B22*(Assumptions!B14+Assumptions!B15)</f>
        <v>0.36</v>
      </c>
      <c r="C27" t="s">
        <v>122</v>
      </c>
    </row>
    <row r="28" spans="1:3" x14ac:dyDescent="0.3">
      <c r="A28" t="s">
        <v>123</v>
      </c>
      <c r="B28" s="16">
        <f>Assumptions!B4-B27</f>
        <v>4.0000000000000036E-2</v>
      </c>
      <c r="C28" t="s">
        <v>124</v>
      </c>
    </row>
    <row r="30" spans="1:3" x14ac:dyDescent="0.3">
      <c r="A30" s="31" t="s">
        <v>125</v>
      </c>
      <c r="B30" s="30"/>
      <c r="C30" s="30"/>
    </row>
    <row r="31" spans="1:3" x14ac:dyDescent="0.3">
      <c r="A31" t="s">
        <v>126</v>
      </c>
      <c r="B31" s="11">
        <f>B7*(Assumptions!B14+Assumptions!B15)</f>
        <v>4320</v>
      </c>
      <c r="C31" t="s">
        <v>127</v>
      </c>
    </row>
    <row r="32" spans="1:3" x14ac:dyDescent="0.3">
      <c r="A32" t="s">
        <v>128</v>
      </c>
      <c r="B32" s="11">
        <f>B31*Assumptions!B38/100</f>
        <v>3240</v>
      </c>
      <c r="C32" t="s">
        <v>129</v>
      </c>
    </row>
    <row r="33" spans="1:3" x14ac:dyDescent="0.3">
      <c r="A33" t="s">
        <v>130</v>
      </c>
      <c r="B33" s="10">
        <f>Assumptions!B5*Assumptions!B38/100</f>
        <v>3750</v>
      </c>
      <c r="C33" t="s">
        <v>131</v>
      </c>
    </row>
    <row r="34" spans="1:3" x14ac:dyDescent="0.3">
      <c r="A34" t="s">
        <v>132</v>
      </c>
      <c r="B34" s="11">
        <f>B33*Assumptions!B41</f>
        <v>93750</v>
      </c>
      <c r="C34" t="s">
        <v>133</v>
      </c>
    </row>
    <row r="35" spans="1:3" x14ac:dyDescent="0.3">
      <c r="A35" t="s">
        <v>134</v>
      </c>
      <c r="B35" s="11">
        <f>B34*Assumptions!B40/100</f>
        <v>7500</v>
      </c>
      <c r="C35" t="s">
        <v>135</v>
      </c>
    </row>
    <row r="37" spans="1:3" x14ac:dyDescent="0.3">
      <c r="A37" s="31" t="s">
        <v>136</v>
      </c>
      <c r="B37" s="30"/>
      <c r="C37" s="30"/>
    </row>
    <row r="38" spans="1:3" x14ac:dyDescent="0.3">
      <c r="A38" s="37" t="s">
        <v>137</v>
      </c>
      <c r="B38" s="30"/>
      <c r="C38" s="30"/>
    </row>
    <row r="39" spans="1:3" x14ac:dyDescent="0.3">
      <c r="A39" t="s">
        <v>138</v>
      </c>
      <c r="B39" s="15">
        <f>Assumptions!B13*1000</f>
        <v>200</v>
      </c>
      <c r="C39" t="s">
        <v>139</v>
      </c>
    </row>
    <row r="40" spans="1:3" x14ac:dyDescent="0.3">
      <c r="A40" t="s">
        <v>140</v>
      </c>
      <c r="B40" s="15">
        <f>Assumptions!B13</f>
        <v>0.2</v>
      </c>
      <c r="C40" t="s">
        <v>141</v>
      </c>
    </row>
    <row r="41" spans="1:3" x14ac:dyDescent="0.3">
      <c r="A41" t="s">
        <v>142</v>
      </c>
      <c r="B41" s="15">
        <f>B8/B33</f>
        <v>1.92</v>
      </c>
      <c r="C41" t="s">
        <v>143</v>
      </c>
    </row>
    <row r="43" spans="1:3" x14ac:dyDescent="0.3">
      <c r="A43" s="36" t="s">
        <v>144</v>
      </c>
      <c r="B43" s="30"/>
      <c r="C43" s="30"/>
    </row>
    <row r="44" spans="1:3" x14ac:dyDescent="0.3">
      <c r="A44" t="s">
        <v>75</v>
      </c>
      <c r="B44" s="15">
        <f>Assumptions!B44</f>
        <v>10</v>
      </c>
      <c r="C44" t="s">
        <v>145</v>
      </c>
    </row>
    <row r="45" spans="1:3" x14ac:dyDescent="0.3">
      <c r="A45" t="s">
        <v>146</v>
      </c>
      <c r="B45" s="17">
        <f>Assumptions!B46</f>
        <v>1</v>
      </c>
      <c r="C45" t="s">
        <v>147</v>
      </c>
    </row>
    <row r="46" spans="1:3" x14ac:dyDescent="0.3">
      <c r="A46" t="s">
        <v>148</v>
      </c>
      <c r="B46" s="15">
        <f>(Assumptions!B44/1000)/(Assumptions!B46/100)</f>
        <v>1</v>
      </c>
      <c r="C46" t="s">
        <v>149</v>
      </c>
    </row>
    <row r="48" spans="1:3" x14ac:dyDescent="0.3">
      <c r="A48" s="35" t="s">
        <v>150</v>
      </c>
      <c r="B48" s="30"/>
      <c r="C48" s="30"/>
    </row>
    <row r="49" spans="1:3" ht="15.6" x14ac:dyDescent="0.3">
      <c r="A49" t="s">
        <v>151</v>
      </c>
      <c r="B49" s="18">
        <f>(B46-B40)/B46</f>
        <v>0.8</v>
      </c>
      <c r="C49" t="s">
        <v>152</v>
      </c>
    </row>
    <row r="50" spans="1:3" x14ac:dyDescent="0.3">
      <c r="A50" t="s">
        <v>153</v>
      </c>
      <c r="B50" s="19" t="s">
        <v>154</v>
      </c>
      <c r="C50" t="s">
        <v>155</v>
      </c>
    </row>
    <row r="51" spans="1:3" x14ac:dyDescent="0.3">
      <c r="A51" t="s">
        <v>156</v>
      </c>
      <c r="B51" s="15">
        <f>B39-B44</f>
        <v>190</v>
      </c>
      <c r="C51" t="s">
        <v>157</v>
      </c>
    </row>
  </sheetData>
  <mergeCells count="9">
    <mergeCell ref="A48:C48"/>
    <mergeCell ref="A43:C43"/>
    <mergeCell ref="A38:C38"/>
    <mergeCell ref="A1:C1"/>
    <mergeCell ref="A23:C23"/>
    <mergeCell ref="A37:C37"/>
    <mergeCell ref="A17:C17"/>
    <mergeCell ref="A3:C3"/>
    <mergeCell ref="A30:C3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5"/>
  <sheetViews>
    <sheetView workbookViewId="0"/>
  </sheetViews>
  <sheetFormatPr defaultRowHeight="14.4" x14ac:dyDescent="0.3"/>
  <cols>
    <col min="1" max="1" width="28" customWidth="1"/>
    <col min="2" max="4" width="18" customWidth="1"/>
    <col min="5" max="5" width="10" customWidth="1"/>
    <col min="6" max="6" width="45" customWidth="1"/>
  </cols>
  <sheetData>
    <row r="1" spans="1:6" x14ac:dyDescent="0.3">
      <c r="A1" s="34" t="s">
        <v>158</v>
      </c>
      <c r="B1" s="30"/>
      <c r="C1" s="30"/>
      <c r="D1" s="30"/>
      <c r="E1" s="30"/>
    </row>
    <row r="3" spans="1:6" x14ac:dyDescent="0.3">
      <c r="A3" s="1" t="s">
        <v>159</v>
      </c>
      <c r="B3" s="1" t="s">
        <v>160</v>
      </c>
      <c r="C3" s="1" t="s">
        <v>161</v>
      </c>
      <c r="D3" s="1" t="s">
        <v>162</v>
      </c>
      <c r="E3" s="1" t="s">
        <v>163</v>
      </c>
    </row>
    <row r="4" spans="1:6" x14ac:dyDescent="0.3">
      <c r="A4" t="s">
        <v>164</v>
      </c>
      <c r="B4" s="20">
        <v>11200</v>
      </c>
      <c r="C4" s="20">
        <v>18400</v>
      </c>
      <c r="D4" s="20">
        <v>28000</v>
      </c>
      <c r="E4" t="s">
        <v>14</v>
      </c>
      <c r="F4" t="s">
        <v>165</v>
      </c>
    </row>
    <row r="5" spans="1:6" x14ac:dyDescent="0.3">
      <c r="A5" t="s">
        <v>166</v>
      </c>
      <c r="B5" s="20">
        <v>6880</v>
      </c>
      <c r="C5" s="20">
        <v>9760</v>
      </c>
      <c r="D5" s="20">
        <v>13600</v>
      </c>
      <c r="E5" t="s">
        <v>14</v>
      </c>
      <c r="F5" t="s">
        <v>167</v>
      </c>
    </row>
    <row r="6" spans="1:6" x14ac:dyDescent="0.3">
      <c r="A6" t="s">
        <v>103</v>
      </c>
      <c r="B6" s="17">
        <v>0.61428571428571432</v>
      </c>
      <c r="C6" s="17">
        <v>0.5304347826086957</v>
      </c>
      <c r="D6" s="17">
        <v>0.48571428571428571</v>
      </c>
      <c r="E6" t="s">
        <v>20</v>
      </c>
      <c r="F6" t="s">
        <v>168</v>
      </c>
    </row>
    <row r="7" spans="1:6" x14ac:dyDescent="0.3">
      <c r="A7" t="s">
        <v>89</v>
      </c>
      <c r="B7" s="10">
        <v>36000</v>
      </c>
      <c r="C7" s="10">
        <v>72000</v>
      </c>
      <c r="D7" s="10">
        <v>120000</v>
      </c>
      <c r="E7" t="s">
        <v>45</v>
      </c>
      <c r="F7" t="s">
        <v>169</v>
      </c>
    </row>
    <row r="9" spans="1:6" x14ac:dyDescent="0.3">
      <c r="A9" t="s">
        <v>170</v>
      </c>
      <c r="B9" s="20">
        <v>4410</v>
      </c>
      <c r="C9" s="20">
        <v>15480.000000000009</v>
      </c>
      <c r="D9" s="20">
        <v>31365</v>
      </c>
      <c r="E9" t="s">
        <v>14</v>
      </c>
      <c r="F9" t="s">
        <v>171</v>
      </c>
    </row>
    <row r="10" spans="1:6" x14ac:dyDescent="0.3">
      <c r="A10" t="s">
        <v>172</v>
      </c>
      <c r="B10" s="20">
        <v>2160</v>
      </c>
      <c r="C10" s="20">
        <v>6480</v>
      </c>
      <c r="D10" s="20">
        <v>12240</v>
      </c>
      <c r="E10" t="s">
        <v>14</v>
      </c>
      <c r="F10" t="s">
        <v>173</v>
      </c>
    </row>
    <row r="12" spans="1:6" x14ac:dyDescent="0.3">
      <c r="A12" s="31" t="s">
        <v>174</v>
      </c>
      <c r="B12" s="30"/>
      <c r="C12" s="30"/>
      <c r="D12" s="30"/>
      <c r="E12" s="30"/>
      <c r="F12" s="30"/>
    </row>
    <row r="13" spans="1:6" x14ac:dyDescent="0.3">
      <c r="A13" t="s">
        <v>175</v>
      </c>
      <c r="B13">
        <v>6</v>
      </c>
      <c r="C13">
        <v>12</v>
      </c>
      <c r="D13">
        <v>20</v>
      </c>
      <c r="F13" t="s">
        <v>176</v>
      </c>
    </row>
    <row r="14" spans="1:6" x14ac:dyDescent="0.3">
      <c r="A14" t="s">
        <v>177</v>
      </c>
      <c r="B14">
        <v>1</v>
      </c>
      <c r="C14">
        <v>3</v>
      </c>
      <c r="D14">
        <v>8</v>
      </c>
      <c r="E14" t="s">
        <v>20</v>
      </c>
      <c r="F14" t="s">
        <v>178</v>
      </c>
    </row>
    <row r="15" spans="1:6" x14ac:dyDescent="0.3">
      <c r="A15" t="s">
        <v>179</v>
      </c>
      <c r="B15">
        <v>50</v>
      </c>
      <c r="C15">
        <v>75</v>
      </c>
      <c r="D15">
        <v>85</v>
      </c>
      <c r="E15" t="s">
        <v>20</v>
      </c>
      <c r="F15" t="s">
        <v>180</v>
      </c>
    </row>
  </sheetData>
  <mergeCells count="2">
    <mergeCell ref="A1:E1"/>
    <mergeCell ref="A12:F1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20"/>
  <sheetViews>
    <sheetView workbookViewId="0"/>
  </sheetViews>
  <sheetFormatPr defaultRowHeight="14.4" x14ac:dyDescent="0.3"/>
  <cols>
    <col min="1" max="1" width="35" customWidth="1"/>
    <col min="2" max="2" width="18" customWidth="1"/>
    <col min="3" max="3" width="50" customWidth="1"/>
  </cols>
  <sheetData>
    <row r="1" spans="1:3" x14ac:dyDescent="0.3">
      <c r="A1" s="33" t="s">
        <v>181</v>
      </c>
      <c r="B1" s="30"/>
      <c r="C1" s="30"/>
    </row>
    <row r="3" spans="1:3" x14ac:dyDescent="0.3">
      <c r="A3" s="31" t="s">
        <v>182</v>
      </c>
      <c r="B3" s="30"/>
      <c r="C3" s="30"/>
    </row>
    <row r="4" spans="1:3" x14ac:dyDescent="0.3">
      <c r="A4" t="s">
        <v>183</v>
      </c>
      <c r="B4" s="6">
        <v>2</v>
      </c>
      <c r="C4" t="s">
        <v>184</v>
      </c>
    </row>
    <row r="5" spans="1:3" x14ac:dyDescent="0.3">
      <c r="A5" t="s">
        <v>185</v>
      </c>
      <c r="B5" s="8">
        <v>12</v>
      </c>
      <c r="C5" t="s">
        <v>186</v>
      </c>
    </row>
    <row r="7" spans="1:3" x14ac:dyDescent="0.3">
      <c r="A7" s="31" t="s">
        <v>187</v>
      </c>
      <c r="B7" s="30"/>
      <c r="C7" s="30"/>
    </row>
    <row r="8" spans="1:3" x14ac:dyDescent="0.3">
      <c r="A8" t="s">
        <v>188</v>
      </c>
      <c r="B8" s="15">
        <f>B5*(Assumptions!B4)</f>
        <v>4.8000000000000007</v>
      </c>
      <c r="C8" t="s">
        <v>189</v>
      </c>
    </row>
    <row r="9" spans="1:3" x14ac:dyDescent="0.3">
      <c r="A9" t="s">
        <v>190</v>
      </c>
      <c r="B9" s="15">
        <f>B5*Assumptions!B23*Assumptions!B16</f>
        <v>11.52</v>
      </c>
      <c r="C9" t="s">
        <v>191</v>
      </c>
    </row>
    <row r="10" spans="1:3" ht="15.6" x14ac:dyDescent="0.3">
      <c r="A10" t="s">
        <v>192</v>
      </c>
      <c r="B10" s="5">
        <f>B8+B9</f>
        <v>16.32</v>
      </c>
      <c r="C10" t="s">
        <v>193</v>
      </c>
    </row>
    <row r="12" spans="1:3" x14ac:dyDescent="0.3">
      <c r="A12" s="31" t="s">
        <v>194</v>
      </c>
      <c r="B12" s="30"/>
      <c r="C12" s="30"/>
    </row>
    <row r="13" spans="1:3" x14ac:dyDescent="0.3">
      <c r="A13" t="s">
        <v>195</v>
      </c>
      <c r="B13" s="21">
        <f>B10/B4</f>
        <v>8.16</v>
      </c>
      <c r="C13" t="s">
        <v>196</v>
      </c>
    </row>
    <row r="14" spans="1:3" x14ac:dyDescent="0.3">
      <c r="A14" t="s">
        <v>197</v>
      </c>
      <c r="B14" s="15">
        <f>(Assumptions!B4)+(Assumptions!B23*Assumptions!B16)</f>
        <v>1.3599999999999999</v>
      </c>
      <c r="C14" t="s">
        <v>198</v>
      </c>
    </row>
    <row r="15" spans="1:3" x14ac:dyDescent="0.3">
      <c r="A15" t="s">
        <v>199</v>
      </c>
      <c r="B15" s="22">
        <f>B4/B14</f>
        <v>1.4705882352941178</v>
      </c>
      <c r="C15" t="s">
        <v>200</v>
      </c>
    </row>
    <row r="17" spans="1:3" x14ac:dyDescent="0.3">
      <c r="A17" s="31" t="s">
        <v>201</v>
      </c>
      <c r="B17" s="30"/>
      <c r="C17" s="30"/>
    </row>
    <row r="18" spans="1:3" x14ac:dyDescent="0.3">
      <c r="A18" t="s">
        <v>202</v>
      </c>
      <c r="B18" s="20">
        <f>Calculations!B9*12</f>
        <v>110400</v>
      </c>
      <c r="C18" t="s">
        <v>203</v>
      </c>
    </row>
    <row r="19" spans="1:3" x14ac:dyDescent="0.3">
      <c r="A19" t="s">
        <v>204</v>
      </c>
      <c r="B19" s="23">
        <f>Calculations!B14*12</f>
        <v>58560</v>
      </c>
      <c r="C19" t="s">
        <v>205</v>
      </c>
    </row>
    <row r="20" spans="1:3" x14ac:dyDescent="0.3">
      <c r="A20" t="s">
        <v>206</v>
      </c>
      <c r="B20" s="20">
        <f>Calculations!B33*12*Assumptions!B41*1.15</f>
        <v>1293750</v>
      </c>
      <c r="C20" t="s">
        <v>207</v>
      </c>
    </row>
  </sheetData>
  <mergeCells count="5">
    <mergeCell ref="A1:C1"/>
    <mergeCell ref="A17:C17"/>
    <mergeCell ref="A3:C3"/>
    <mergeCell ref="A12:C12"/>
    <mergeCell ref="A7:C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44"/>
  <sheetViews>
    <sheetView workbookViewId="0"/>
  </sheetViews>
  <sheetFormatPr defaultRowHeight="14.4" x14ac:dyDescent="0.3"/>
  <cols>
    <col min="1" max="1" width="22" customWidth="1"/>
    <col min="2" max="5" width="18" customWidth="1"/>
    <col min="6" max="6" width="55" customWidth="1"/>
  </cols>
  <sheetData>
    <row r="1" spans="1:6" x14ac:dyDescent="0.3">
      <c r="A1" s="34" t="s">
        <v>208</v>
      </c>
      <c r="B1" s="30"/>
      <c r="C1" s="30"/>
      <c r="D1" s="30"/>
      <c r="E1" s="30"/>
      <c r="F1" s="30"/>
    </row>
    <row r="3" spans="1:6" x14ac:dyDescent="0.3">
      <c r="A3" s="31" t="s">
        <v>209</v>
      </c>
      <c r="B3" s="30"/>
      <c r="C3" s="30"/>
      <c r="D3" s="30"/>
      <c r="E3" s="30"/>
      <c r="F3" s="30"/>
    </row>
    <row r="4" spans="1:6" x14ac:dyDescent="0.3">
      <c r="A4" s="32" t="s">
        <v>210</v>
      </c>
      <c r="B4" s="30"/>
      <c r="C4" s="30"/>
      <c r="D4" s="30"/>
      <c r="E4" s="30"/>
      <c r="F4" s="30"/>
    </row>
    <row r="5" spans="1:6" x14ac:dyDescent="0.3">
      <c r="A5" s="32" t="s">
        <v>211</v>
      </c>
      <c r="B5" s="30"/>
      <c r="C5" s="30"/>
      <c r="D5" s="30"/>
      <c r="E5" s="30"/>
      <c r="F5" s="30"/>
    </row>
    <row r="7" spans="1:6" x14ac:dyDescent="0.3">
      <c r="A7" s="1" t="s">
        <v>212</v>
      </c>
      <c r="B7" s="1" t="s">
        <v>213</v>
      </c>
      <c r="C7" s="1" t="s">
        <v>214</v>
      </c>
      <c r="D7" s="1" t="s">
        <v>103</v>
      </c>
      <c r="E7" s="1" t="s">
        <v>215</v>
      </c>
    </row>
    <row r="8" spans="1:6" x14ac:dyDescent="0.3">
      <c r="A8">
        <v>3</v>
      </c>
      <c r="B8" s="20">
        <v>7600</v>
      </c>
      <c r="C8" s="20">
        <v>5440</v>
      </c>
      <c r="D8" s="17">
        <v>0.71578947368421053</v>
      </c>
      <c r="E8" s="15">
        <v>0.36</v>
      </c>
    </row>
    <row r="9" spans="1:6" x14ac:dyDescent="0.3">
      <c r="A9">
        <v>6</v>
      </c>
      <c r="B9" s="20">
        <v>11200</v>
      </c>
      <c r="C9" s="20">
        <v>6880</v>
      </c>
      <c r="D9" s="17">
        <v>0.61428571428571432</v>
      </c>
      <c r="E9" s="15">
        <v>0.72</v>
      </c>
    </row>
    <row r="10" spans="1:6" x14ac:dyDescent="0.3">
      <c r="A10">
        <v>9</v>
      </c>
      <c r="B10" s="20">
        <v>14800</v>
      </c>
      <c r="C10" s="20">
        <v>8320</v>
      </c>
      <c r="D10" s="17">
        <v>0.56216216216216219</v>
      </c>
      <c r="E10" s="15">
        <v>1.08</v>
      </c>
    </row>
    <row r="11" spans="1:6" x14ac:dyDescent="0.3">
      <c r="A11">
        <v>12</v>
      </c>
      <c r="B11" s="20">
        <v>18400</v>
      </c>
      <c r="C11" s="20">
        <v>9760</v>
      </c>
      <c r="D11" s="17">
        <v>0.5304347826086957</v>
      </c>
      <c r="E11" s="15">
        <v>1.44</v>
      </c>
    </row>
    <row r="12" spans="1:6" x14ac:dyDescent="0.3">
      <c r="A12">
        <v>15</v>
      </c>
      <c r="B12" s="20">
        <v>22000</v>
      </c>
      <c r="C12" s="20">
        <v>11200</v>
      </c>
      <c r="D12" s="17">
        <v>0.50909090909090904</v>
      </c>
      <c r="E12" s="15">
        <v>1.8</v>
      </c>
    </row>
    <row r="13" spans="1:6" x14ac:dyDescent="0.3">
      <c r="A13">
        <v>18</v>
      </c>
      <c r="B13" s="20">
        <v>25600</v>
      </c>
      <c r="C13" s="20">
        <v>12640</v>
      </c>
      <c r="D13" s="17">
        <v>0.49375000000000002</v>
      </c>
      <c r="E13" s="15">
        <v>2.16</v>
      </c>
    </row>
    <row r="14" spans="1:6" x14ac:dyDescent="0.3">
      <c r="A14">
        <v>20</v>
      </c>
      <c r="B14" s="20">
        <v>28000</v>
      </c>
      <c r="C14" s="20">
        <v>13600</v>
      </c>
      <c r="D14" s="17">
        <v>0.48571428571428571</v>
      </c>
      <c r="E14" s="15">
        <v>2.4</v>
      </c>
    </row>
    <row r="15" spans="1:6" x14ac:dyDescent="0.3">
      <c r="A15">
        <v>25</v>
      </c>
      <c r="B15" s="20">
        <v>34000</v>
      </c>
      <c r="C15" s="20">
        <v>16000</v>
      </c>
      <c r="D15" s="17">
        <v>0.47058823529411759</v>
      </c>
      <c r="E15" s="15">
        <v>3</v>
      </c>
    </row>
    <row r="18" spans="1:6" x14ac:dyDescent="0.3">
      <c r="A18" s="31" t="s">
        <v>216</v>
      </c>
      <c r="B18" s="30"/>
      <c r="C18" s="30"/>
      <c r="D18" s="30"/>
      <c r="E18" s="30"/>
      <c r="F18" s="30"/>
    </row>
    <row r="19" spans="1:6" x14ac:dyDescent="0.3">
      <c r="A19" s="32" t="s">
        <v>217</v>
      </c>
      <c r="B19" s="30"/>
      <c r="C19" s="30"/>
      <c r="D19" s="30"/>
      <c r="E19" s="30"/>
      <c r="F19" s="30"/>
    </row>
    <row r="20" spans="1:6" x14ac:dyDescent="0.3">
      <c r="A20" s="32" t="s">
        <v>218</v>
      </c>
      <c r="B20" s="30"/>
      <c r="C20" s="30"/>
      <c r="D20" s="30"/>
      <c r="E20" s="30"/>
      <c r="F20" s="30"/>
    </row>
    <row r="22" spans="1:6" x14ac:dyDescent="0.3">
      <c r="A22" s="1" t="s">
        <v>219</v>
      </c>
      <c r="B22" s="1" t="s">
        <v>213</v>
      </c>
      <c r="C22" s="1" t="s">
        <v>214</v>
      </c>
      <c r="D22" s="1" t="s">
        <v>103</v>
      </c>
      <c r="E22" s="1" t="s">
        <v>123</v>
      </c>
    </row>
    <row r="23" spans="1:6" x14ac:dyDescent="0.3">
      <c r="A23" s="15">
        <v>0.25</v>
      </c>
      <c r="B23" s="20">
        <v>16900</v>
      </c>
      <c r="C23" s="20">
        <v>8260</v>
      </c>
      <c r="D23" s="17">
        <v>0.48875739644970412</v>
      </c>
      <c r="E23" s="15">
        <v>-0.11</v>
      </c>
    </row>
    <row r="24" spans="1:6" x14ac:dyDescent="0.3">
      <c r="A24" s="15">
        <v>0.3</v>
      </c>
      <c r="B24" s="20">
        <v>17400</v>
      </c>
      <c r="C24" s="20">
        <v>8760</v>
      </c>
      <c r="D24" s="17">
        <v>0.50344827586206897</v>
      </c>
      <c r="E24" s="15">
        <v>-0.06</v>
      </c>
    </row>
    <row r="25" spans="1:6" x14ac:dyDescent="0.3">
      <c r="A25" s="15">
        <v>0.35</v>
      </c>
      <c r="B25" s="20">
        <v>17900</v>
      </c>
      <c r="C25" s="20">
        <v>9260</v>
      </c>
      <c r="D25" s="17">
        <v>0.5173184357541899</v>
      </c>
      <c r="E25" s="15">
        <v>-1.0000000000000011E-2</v>
      </c>
    </row>
    <row r="26" spans="1:6" x14ac:dyDescent="0.3">
      <c r="A26" s="15">
        <v>0.4</v>
      </c>
      <c r="B26" s="20">
        <v>18400</v>
      </c>
      <c r="C26" s="20">
        <v>9760</v>
      </c>
      <c r="D26" s="17">
        <v>0.5304347826086957</v>
      </c>
      <c r="E26" s="15">
        <v>4.0000000000000042E-2</v>
      </c>
    </row>
    <row r="27" spans="1:6" x14ac:dyDescent="0.3">
      <c r="A27" s="15">
        <v>0.45</v>
      </c>
      <c r="B27" s="20">
        <v>18900</v>
      </c>
      <c r="C27" s="20">
        <v>10260</v>
      </c>
      <c r="D27" s="17">
        <v>0.54285714285714282</v>
      </c>
      <c r="E27" s="15">
        <v>9.0000000000000024E-2</v>
      </c>
    </row>
    <row r="28" spans="1:6" x14ac:dyDescent="0.3">
      <c r="A28" s="15">
        <v>0.5</v>
      </c>
      <c r="B28" s="20">
        <v>19400</v>
      </c>
      <c r="C28" s="20">
        <v>10760</v>
      </c>
      <c r="D28" s="17">
        <v>0.55463917525773199</v>
      </c>
      <c r="E28" s="15">
        <v>0.14000000000000001</v>
      </c>
    </row>
    <row r="29" spans="1:6" x14ac:dyDescent="0.3">
      <c r="A29" s="15">
        <v>0.6</v>
      </c>
      <c r="B29" s="20">
        <v>20400</v>
      </c>
      <c r="C29" s="20">
        <v>11760</v>
      </c>
      <c r="D29" s="17">
        <v>0.57647058823529407</v>
      </c>
      <c r="E29" s="15">
        <v>0.24</v>
      </c>
    </row>
    <row r="30" spans="1:6" x14ac:dyDescent="0.3">
      <c r="A30" s="15">
        <v>0.75</v>
      </c>
      <c r="B30" s="20">
        <v>21900</v>
      </c>
      <c r="C30" s="20">
        <v>13260</v>
      </c>
      <c r="D30" s="17">
        <v>0.60547945205479448</v>
      </c>
      <c r="E30" s="15">
        <v>0.39</v>
      </c>
    </row>
    <row r="33" spans="1:6" x14ac:dyDescent="0.3">
      <c r="A33" s="31" t="s">
        <v>220</v>
      </c>
      <c r="B33" s="30"/>
      <c r="C33" s="30"/>
      <c r="D33" s="30"/>
      <c r="E33" s="30"/>
      <c r="F33" s="30"/>
    </row>
    <row r="34" spans="1:6" x14ac:dyDescent="0.3">
      <c r="A34" s="32" t="s">
        <v>221</v>
      </c>
      <c r="B34" s="30"/>
      <c r="C34" s="30"/>
      <c r="D34" s="30"/>
      <c r="E34" s="30"/>
      <c r="F34" s="30"/>
    </row>
    <row r="35" spans="1:6" x14ac:dyDescent="0.3">
      <c r="A35" s="32" t="s">
        <v>222</v>
      </c>
      <c r="B35" s="30"/>
      <c r="C35" s="30"/>
      <c r="D35" s="30"/>
      <c r="E35" s="30"/>
      <c r="F35" s="30"/>
    </row>
    <row r="37" spans="1:6" x14ac:dyDescent="0.3">
      <c r="A37" s="1" t="s">
        <v>83</v>
      </c>
      <c r="B37" s="1" t="s">
        <v>213</v>
      </c>
      <c r="C37" s="1" t="s">
        <v>214</v>
      </c>
      <c r="D37" s="1" t="s">
        <v>103</v>
      </c>
      <c r="E37" s="1" t="s">
        <v>223</v>
      </c>
    </row>
    <row r="38" spans="1:6" x14ac:dyDescent="0.3">
      <c r="A38" s="10">
        <v>5000</v>
      </c>
      <c r="B38" s="20">
        <v>9200</v>
      </c>
      <c r="C38" s="20">
        <v>4880</v>
      </c>
      <c r="D38" s="17">
        <v>0.5304347826086957</v>
      </c>
      <c r="E38" s="20">
        <v>7740.0000000000073</v>
      </c>
    </row>
    <row r="39" spans="1:6" x14ac:dyDescent="0.3">
      <c r="A39" s="10">
        <v>7500</v>
      </c>
      <c r="B39" s="20">
        <v>13800</v>
      </c>
      <c r="C39" s="20">
        <v>7320</v>
      </c>
      <c r="D39" s="17">
        <v>0.5304347826086957</v>
      </c>
      <c r="E39" s="20">
        <v>11610</v>
      </c>
    </row>
    <row r="40" spans="1:6" x14ac:dyDescent="0.3">
      <c r="A40" s="10">
        <v>10000</v>
      </c>
      <c r="B40" s="20">
        <v>18400</v>
      </c>
      <c r="C40" s="20">
        <v>9760</v>
      </c>
      <c r="D40" s="17">
        <v>0.5304347826086957</v>
      </c>
      <c r="E40" s="20">
        <v>15480.000000000009</v>
      </c>
    </row>
    <row r="41" spans="1:6" x14ac:dyDescent="0.3">
      <c r="A41" s="10">
        <v>15000</v>
      </c>
      <c r="B41" s="20">
        <v>27600</v>
      </c>
      <c r="C41" s="20">
        <v>14640</v>
      </c>
      <c r="D41" s="17">
        <v>0.5304347826086957</v>
      </c>
      <c r="E41" s="20">
        <v>23220</v>
      </c>
    </row>
    <row r="42" spans="1:6" x14ac:dyDescent="0.3">
      <c r="A42" s="10">
        <v>20000</v>
      </c>
      <c r="B42" s="20">
        <v>36800</v>
      </c>
      <c r="C42" s="20">
        <v>19520</v>
      </c>
      <c r="D42" s="17">
        <v>0.5304347826086957</v>
      </c>
      <c r="E42" s="20">
        <v>30960.000000000029</v>
      </c>
    </row>
    <row r="43" spans="1:6" x14ac:dyDescent="0.3">
      <c r="A43" s="10">
        <v>25000</v>
      </c>
      <c r="B43" s="20">
        <v>46000</v>
      </c>
      <c r="C43" s="20">
        <v>24400</v>
      </c>
      <c r="D43" s="17">
        <v>0.5304347826086957</v>
      </c>
      <c r="E43" s="20">
        <v>38700</v>
      </c>
    </row>
    <row r="44" spans="1:6" x14ac:dyDescent="0.3">
      <c r="A44" s="10">
        <v>50000</v>
      </c>
      <c r="B44" s="20">
        <v>92000</v>
      </c>
      <c r="C44" s="20">
        <v>48800</v>
      </c>
      <c r="D44" s="17">
        <v>0.5304347826086957</v>
      </c>
      <c r="E44" s="20">
        <v>77400</v>
      </c>
    </row>
  </sheetData>
  <mergeCells count="10">
    <mergeCell ref="A35:F35"/>
    <mergeCell ref="A3:F3"/>
    <mergeCell ref="A20:F20"/>
    <mergeCell ref="A33:F33"/>
    <mergeCell ref="A19:F19"/>
    <mergeCell ref="A1:F1"/>
    <mergeCell ref="A5:F5"/>
    <mergeCell ref="A34:F34"/>
    <mergeCell ref="A18:F18"/>
    <mergeCell ref="A4:F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47"/>
  <sheetViews>
    <sheetView workbookViewId="0"/>
  </sheetViews>
  <sheetFormatPr defaultRowHeight="14.4" x14ac:dyDescent="0.3"/>
  <cols>
    <col min="1" max="1" width="30" customWidth="1"/>
    <col min="2" max="2" width="18" customWidth="1"/>
    <col min="3" max="3" width="25" customWidth="1"/>
    <col min="4" max="4" width="20" customWidth="1"/>
  </cols>
  <sheetData>
    <row r="1" spans="1:8" x14ac:dyDescent="0.3">
      <c r="A1" s="33" t="s">
        <v>224</v>
      </c>
      <c r="B1" s="30"/>
      <c r="C1" s="30"/>
      <c r="D1" s="30"/>
      <c r="E1" s="30"/>
      <c r="F1" s="30"/>
      <c r="G1" s="30"/>
      <c r="H1" s="30"/>
    </row>
    <row r="3" spans="1:8" x14ac:dyDescent="0.3">
      <c r="A3" s="38" t="s">
        <v>225</v>
      </c>
      <c r="B3" s="30"/>
      <c r="C3" s="30"/>
      <c r="D3" s="30"/>
    </row>
    <row r="4" spans="1:8" x14ac:dyDescent="0.3">
      <c r="A4" s="1" t="s">
        <v>226</v>
      </c>
      <c r="B4" s="1" t="s">
        <v>227</v>
      </c>
      <c r="C4" s="1" t="s">
        <v>228</v>
      </c>
    </row>
    <row r="5" spans="1:8" x14ac:dyDescent="0.3">
      <c r="A5" t="s">
        <v>229</v>
      </c>
      <c r="B5">
        <f>Calculations!B39</f>
        <v>200</v>
      </c>
      <c r="C5">
        <f>Calculations!B40</f>
        <v>0.2</v>
      </c>
      <c r="D5" t="s">
        <v>230</v>
      </c>
    </row>
    <row r="6" spans="1:8" x14ac:dyDescent="0.3">
      <c r="A6" t="s">
        <v>231</v>
      </c>
      <c r="B6">
        <f>Calculations!B44</f>
        <v>10</v>
      </c>
      <c r="C6">
        <f>Calculations!B46</f>
        <v>1</v>
      </c>
      <c r="D6" t="s">
        <v>232</v>
      </c>
    </row>
    <row r="19" spans="1:4" x14ac:dyDescent="0.3">
      <c r="A19" s="38" t="s">
        <v>233</v>
      </c>
      <c r="B19" s="30"/>
      <c r="C19" s="30"/>
      <c r="D19" s="30"/>
    </row>
    <row r="20" spans="1:4" x14ac:dyDescent="0.3">
      <c r="A20" s="1" t="s">
        <v>234</v>
      </c>
      <c r="B20" s="1" t="s">
        <v>235</v>
      </c>
    </row>
    <row r="21" spans="1:4" x14ac:dyDescent="0.3">
      <c r="A21" t="s">
        <v>236</v>
      </c>
      <c r="B21" s="15">
        <f>Assumptions!B4</f>
        <v>0.4</v>
      </c>
      <c r="C21" t="s">
        <v>237</v>
      </c>
    </row>
    <row r="22" spans="1:4" x14ac:dyDescent="0.3">
      <c r="A22" t="s">
        <v>238</v>
      </c>
      <c r="B22" s="15">
        <f>-Assumptions!B22*Assumptions!B14</f>
        <v>-0.18</v>
      </c>
      <c r="C22" t="s">
        <v>239</v>
      </c>
    </row>
    <row r="23" spans="1:4" x14ac:dyDescent="0.3">
      <c r="A23" t="s">
        <v>240</v>
      </c>
      <c r="B23" s="15">
        <f>-Assumptions!B22*Assumptions!B15</f>
        <v>-0.18</v>
      </c>
      <c r="C23" t="s">
        <v>241</v>
      </c>
    </row>
    <row r="24" spans="1:4" x14ac:dyDescent="0.3">
      <c r="A24" t="s">
        <v>242</v>
      </c>
      <c r="B24" s="24">
        <f>Calculations!B28</f>
        <v>4.0000000000000036E-2</v>
      </c>
      <c r="C24" t="s">
        <v>243</v>
      </c>
    </row>
    <row r="37" spans="1:4" x14ac:dyDescent="0.3">
      <c r="A37" s="38" t="s">
        <v>244</v>
      </c>
      <c r="B37" s="30"/>
      <c r="C37" s="30"/>
      <c r="D37" s="30"/>
    </row>
    <row r="38" spans="1:4" x14ac:dyDescent="0.3">
      <c r="A38" s="1" t="s">
        <v>159</v>
      </c>
      <c r="B38" s="1" t="s">
        <v>245</v>
      </c>
      <c r="C38" s="1" t="s">
        <v>246</v>
      </c>
      <c r="D38" s="1" t="s">
        <v>247</v>
      </c>
    </row>
    <row r="39" spans="1:4" x14ac:dyDescent="0.3">
      <c r="A39" t="s">
        <v>195</v>
      </c>
      <c r="B39" s="25">
        <f>(12*(Assumptions!B4+Assumptions!B23*Assumptions!B16))/2</f>
        <v>8.16</v>
      </c>
      <c r="C39" t="s">
        <v>248</v>
      </c>
      <c r="D39" s="19" t="s">
        <v>249</v>
      </c>
    </row>
    <row r="40" spans="1:4" x14ac:dyDescent="0.3">
      <c r="A40" t="s">
        <v>250</v>
      </c>
      <c r="B40" s="26">
        <f>2/(Assumptions!B4+Assumptions!B23*Assumptions!B16)</f>
        <v>1.4705882352941178</v>
      </c>
      <c r="C40" t="s">
        <v>251</v>
      </c>
      <c r="D40" s="19" t="s">
        <v>249</v>
      </c>
    </row>
    <row r="41" spans="1:4" x14ac:dyDescent="0.3">
      <c r="A41" t="s">
        <v>103</v>
      </c>
      <c r="B41" s="17">
        <f>Calculations!B14/Calculations!B9</f>
        <v>0.5304347826086957</v>
      </c>
      <c r="C41" t="s">
        <v>252</v>
      </c>
      <c r="D41" s="19" t="s">
        <v>253</v>
      </c>
    </row>
    <row r="43" spans="1:4" x14ac:dyDescent="0.3">
      <c r="A43" s="38" t="s">
        <v>254</v>
      </c>
      <c r="B43" s="30"/>
      <c r="C43" s="30"/>
      <c r="D43" s="30"/>
    </row>
    <row r="44" spans="1:4" x14ac:dyDescent="0.3">
      <c r="A44" s="1" t="s">
        <v>159</v>
      </c>
      <c r="B44" s="1" t="s">
        <v>255</v>
      </c>
    </row>
    <row r="45" spans="1:4" x14ac:dyDescent="0.3">
      <c r="A45" t="s">
        <v>172</v>
      </c>
      <c r="B45" s="20">
        <f>Calculations!B31*Assumptions!B38/100</f>
        <v>3240</v>
      </c>
      <c r="C45" t="s">
        <v>256</v>
      </c>
    </row>
    <row r="46" spans="1:4" x14ac:dyDescent="0.3">
      <c r="A46" t="s">
        <v>132</v>
      </c>
      <c r="B46" s="20">
        <f>Calculations!B34</f>
        <v>93750</v>
      </c>
      <c r="C46" t="s">
        <v>257</v>
      </c>
    </row>
    <row r="47" spans="1:4" x14ac:dyDescent="0.3">
      <c r="A47" t="s">
        <v>258</v>
      </c>
      <c r="B47" s="20">
        <f>Calculations!B34*Assumptions!B40/100</f>
        <v>7500</v>
      </c>
      <c r="C47" t="s">
        <v>259</v>
      </c>
    </row>
  </sheetData>
  <mergeCells count="5">
    <mergeCell ref="A37:D37"/>
    <mergeCell ref="A3:D3"/>
    <mergeCell ref="A43:D43"/>
    <mergeCell ref="A19:D19"/>
    <mergeCell ref="A1:H1"/>
  </mergeCells>
  <pageMargins left="0.75" right="0.75" top="1" bottom="1" header="0.5" footer="0.5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46"/>
  <sheetViews>
    <sheetView workbookViewId="0"/>
  </sheetViews>
  <sheetFormatPr defaultRowHeight="14.4" x14ac:dyDescent="0.3"/>
  <cols>
    <col min="1" max="1" width="35" customWidth="1"/>
    <col min="2" max="2" width="20" customWidth="1"/>
    <col min="3" max="3" width="50" customWidth="1"/>
    <col min="4" max="4" width="30" customWidth="1"/>
  </cols>
  <sheetData>
    <row r="1" spans="1:4" x14ac:dyDescent="0.3">
      <c r="A1" s="34" t="s">
        <v>260</v>
      </c>
      <c r="B1" s="30"/>
      <c r="C1" s="30"/>
      <c r="D1" s="30"/>
    </row>
    <row r="3" spans="1:4" x14ac:dyDescent="0.3">
      <c r="A3" s="32" t="s">
        <v>261</v>
      </c>
      <c r="B3" s="30"/>
      <c r="C3" s="30"/>
      <c r="D3" s="30"/>
    </row>
    <row r="5" spans="1:4" x14ac:dyDescent="0.3">
      <c r="A5" s="31" t="s">
        <v>262</v>
      </c>
      <c r="B5" s="30"/>
      <c r="C5" s="30"/>
      <c r="D5" s="30"/>
    </row>
    <row r="6" spans="1:4" x14ac:dyDescent="0.3">
      <c r="A6" s="1" t="s">
        <v>159</v>
      </c>
      <c r="B6" s="1" t="s">
        <v>263</v>
      </c>
      <c r="C6" s="1" t="s">
        <v>264</v>
      </c>
      <c r="D6" s="1" t="s">
        <v>265</v>
      </c>
    </row>
    <row r="7" spans="1:4" x14ac:dyDescent="0.3">
      <c r="A7" s="27" t="s">
        <v>266</v>
      </c>
      <c r="B7" t="s">
        <v>267</v>
      </c>
      <c r="C7" t="s">
        <v>268</v>
      </c>
      <c r="D7" t="s">
        <v>269</v>
      </c>
    </row>
    <row r="8" spans="1:4" x14ac:dyDescent="0.3">
      <c r="A8" s="27" t="s">
        <v>77</v>
      </c>
      <c r="B8" t="s">
        <v>270</v>
      </c>
      <c r="C8" t="s">
        <v>271</v>
      </c>
      <c r="D8" t="s">
        <v>272</v>
      </c>
    </row>
    <row r="9" spans="1:4" x14ac:dyDescent="0.3">
      <c r="A9" s="27" t="s">
        <v>273</v>
      </c>
      <c r="B9" t="s">
        <v>274</v>
      </c>
      <c r="C9" t="s">
        <v>275</v>
      </c>
      <c r="D9" t="s">
        <v>272</v>
      </c>
    </row>
    <row r="10" spans="1:4" x14ac:dyDescent="0.3">
      <c r="A10" s="40" t="s">
        <v>276</v>
      </c>
      <c r="B10" s="30"/>
      <c r="C10" s="30"/>
      <c r="D10" s="30"/>
    </row>
    <row r="12" spans="1:4" x14ac:dyDescent="0.3">
      <c r="A12" s="31" t="s">
        <v>277</v>
      </c>
      <c r="B12" s="30"/>
      <c r="C12" s="30"/>
      <c r="D12" s="30"/>
    </row>
    <row r="13" spans="1:4" x14ac:dyDescent="0.3">
      <c r="A13" s="1" t="s">
        <v>159</v>
      </c>
      <c r="B13" s="1" t="s">
        <v>263</v>
      </c>
      <c r="C13" s="1" t="s">
        <v>264</v>
      </c>
      <c r="D13" s="1" t="s">
        <v>265</v>
      </c>
    </row>
    <row r="14" spans="1:4" x14ac:dyDescent="0.3">
      <c r="A14" s="27" t="s">
        <v>38</v>
      </c>
      <c r="B14" t="s">
        <v>278</v>
      </c>
      <c r="C14" t="s">
        <v>279</v>
      </c>
      <c r="D14" t="s">
        <v>272</v>
      </c>
    </row>
    <row r="15" spans="1:4" x14ac:dyDescent="0.3">
      <c r="A15" s="27" t="s">
        <v>66</v>
      </c>
      <c r="B15" t="s">
        <v>280</v>
      </c>
      <c r="C15" t="s">
        <v>281</v>
      </c>
      <c r="D15" t="s">
        <v>282</v>
      </c>
    </row>
    <row r="16" spans="1:4" x14ac:dyDescent="0.3">
      <c r="A16" s="27" t="s">
        <v>70</v>
      </c>
      <c r="B16" t="s">
        <v>283</v>
      </c>
      <c r="C16" t="s">
        <v>284</v>
      </c>
      <c r="D16" t="s">
        <v>285</v>
      </c>
    </row>
    <row r="17" spans="1:4" x14ac:dyDescent="0.3">
      <c r="A17" s="27" t="s">
        <v>68</v>
      </c>
      <c r="B17" t="s">
        <v>286</v>
      </c>
      <c r="C17" t="s">
        <v>287</v>
      </c>
      <c r="D17" t="s">
        <v>285</v>
      </c>
    </row>
    <row r="19" spans="1:4" x14ac:dyDescent="0.3">
      <c r="A19" s="31" t="s">
        <v>288</v>
      </c>
      <c r="B19" s="30"/>
      <c r="C19" s="30"/>
      <c r="D19" s="30"/>
    </row>
    <row r="20" spans="1:4" x14ac:dyDescent="0.3">
      <c r="A20" s="1" t="s">
        <v>159</v>
      </c>
      <c r="B20" s="1" t="s">
        <v>289</v>
      </c>
      <c r="C20" s="1" t="s">
        <v>264</v>
      </c>
      <c r="D20" s="1" t="s">
        <v>290</v>
      </c>
    </row>
    <row r="21" spans="1:4" x14ac:dyDescent="0.3">
      <c r="A21" s="27" t="s">
        <v>195</v>
      </c>
      <c r="B21" t="s">
        <v>291</v>
      </c>
      <c r="C21" t="s">
        <v>292</v>
      </c>
      <c r="D21" t="s">
        <v>293</v>
      </c>
    </row>
    <row r="22" spans="1:4" x14ac:dyDescent="0.3">
      <c r="A22" s="27" t="s">
        <v>294</v>
      </c>
      <c r="B22" t="s">
        <v>251</v>
      </c>
      <c r="C22" t="s">
        <v>295</v>
      </c>
      <c r="D22" t="s">
        <v>296</v>
      </c>
    </row>
    <row r="23" spans="1:4" x14ac:dyDescent="0.3">
      <c r="A23" s="27" t="s">
        <v>297</v>
      </c>
      <c r="B23" t="s">
        <v>298</v>
      </c>
      <c r="C23" t="s">
        <v>299</v>
      </c>
      <c r="D23" t="s">
        <v>300</v>
      </c>
    </row>
    <row r="24" spans="1:4" x14ac:dyDescent="0.3">
      <c r="A24" s="27" t="s">
        <v>301</v>
      </c>
      <c r="B24" t="s">
        <v>252</v>
      </c>
      <c r="C24" t="s">
        <v>302</v>
      </c>
      <c r="D24" t="s">
        <v>303</v>
      </c>
    </row>
    <row r="26" spans="1:4" x14ac:dyDescent="0.3">
      <c r="A26" s="31" t="s">
        <v>304</v>
      </c>
      <c r="B26" s="30"/>
      <c r="C26" s="30"/>
      <c r="D26" s="30"/>
    </row>
    <row r="27" spans="1:4" x14ac:dyDescent="0.3">
      <c r="A27" s="1" t="s">
        <v>264</v>
      </c>
      <c r="B27" s="1" t="s">
        <v>305</v>
      </c>
      <c r="C27" s="1" t="s">
        <v>306</v>
      </c>
    </row>
    <row r="28" spans="1:4" x14ac:dyDescent="0.3">
      <c r="A28" t="s">
        <v>307</v>
      </c>
      <c r="B28" s="28" t="s">
        <v>308</v>
      </c>
      <c r="C28" t="s">
        <v>309</v>
      </c>
    </row>
    <row r="29" spans="1:4" x14ac:dyDescent="0.3">
      <c r="A29" t="s">
        <v>310</v>
      </c>
      <c r="B29" s="28" t="s">
        <v>311</v>
      </c>
      <c r="C29" t="s">
        <v>312</v>
      </c>
    </row>
    <row r="30" spans="1:4" x14ac:dyDescent="0.3">
      <c r="A30" t="s">
        <v>313</v>
      </c>
      <c r="B30" s="28" t="s">
        <v>314</v>
      </c>
      <c r="C30" t="s">
        <v>315</v>
      </c>
    </row>
    <row r="31" spans="1:4" x14ac:dyDescent="0.3">
      <c r="A31" t="s">
        <v>316</v>
      </c>
      <c r="B31" s="28" t="s">
        <v>317</v>
      </c>
      <c r="C31" t="s">
        <v>318</v>
      </c>
    </row>
    <row r="32" spans="1:4" x14ac:dyDescent="0.3">
      <c r="A32" t="s">
        <v>319</v>
      </c>
      <c r="B32" s="28" t="s">
        <v>320</v>
      </c>
      <c r="C32" t="s">
        <v>321</v>
      </c>
    </row>
    <row r="33" spans="1:4" x14ac:dyDescent="0.3">
      <c r="A33" t="s">
        <v>322</v>
      </c>
      <c r="B33" s="28" t="s">
        <v>323</v>
      </c>
      <c r="C33" t="s">
        <v>324</v>
      </c>
    </row>
    <row r="34" spans="1:4" x14ac:dyDescent="0.3">
      <c r="A34" t="s">
        <v>325</v>
      </c>
      <c r="B34" s="28" t="s">
        <v>326</v>
      </c>
      <c r="C34" t="s">
        <v>327</v>
      </c>
    </row>
    <row r="35" spans="1:4" x14ac:dyDescent="0.3">
      <c r="A35" t="s">
        <v>328</v>
      </c>
      <c r="B35" s="28" t="s">
        <v>329</v>
      </c>
      <c r="C35" t="s">
        <v>330</v>
      </c>
    </row>
    <row r="38" spans="1:4" x14ac:dyDescent="0.3">
      <c r="A38" s="31" t="s">
        <v>331</v>
      </c>
      <c r="B38" s="30"/>
      <c r="C38" s="30"/>
      <c r="D38" s="30"/>
    </row>
    <row r="39" spans="1:4" x14ac:dyDescent="0.3">
      <c r="A39" s="39" t="s">
        <v>332</v>
      </c>
      <c r="B39" s="30"/>
      <c r="C39" s="30"/>
      <c r="D39" s="30"/>
    </row>
    <row r="40" spans="1:4" x14ac:dyDescent="0.3">
      <c r="A40" s="39" t="s">
        <v>333</v>
      </c>
      <c r="B40" s="30"/>
      <c r="C40" s="30"/>
      <c r="D40" s="30"/>
    </row>
    <row r="41" spans="1:4" x14ac:dyDescent="0.3">
      <c r="A41" s="39" t="s">
        <v>334</v>
      </c>
      <c r="B41" s="30"/>
      <c r="C41" s="30"/>
      <c r="D41" s="30"/>
    </row>
    <row r="42" spans="1:4" x14ac:dyDescent="0.3">
      <c r="A42" s="39" t="s">
        <v>335</v>
      </c>
      <c r="B42" s="30"/>
      <c r="C42" s="30"/>
      <c r="D42" s="30"/>
    </row>
    <row r="43" spans="1:4" x14ac:dyDescent="0.3">
      <c r="A43" s="39" t="s">
        <v>336</v>
      </c>
      <c r="B43" s="30"/>
      <c r="C43" s="30"/>
      <c r="D43" s="30"/>
    </row>
    <row r="44" spans="1:4" x14ac:dyDescent="0.3">
      <c r="A44" s="39" t="s">
        <v>337</v>
      </c>
      <c r="B44" s="30"/>
      <c r="C44" s="30"/>
      <c r="D44" s="30"/>
    </row>
    <row r="45" spans="1:4" x14ac:dyDescent="0.3">
      <c r="A45" s="39" t="s">
        <v>338</v>
      </c>
      <c r="B45" s="30"/>
      <c r="C45" s="30"/>
      <c r="D45" s="30"/>
    </row>
    <row r="46" spans="1:4" x14ac:dyDescent="0.3">
      <c r="A46" s="39" t="s">
        <v>339</v>
      </c>
      <c r="B46" s="30"/>
      <c r="C46" s="30"/>
      <c r="D46" s="30"/>
    </row>
  </sheetData>
  <mergeCells count="16">
    <mergeCell ref="A46:D46"/>
    <mergeCell ref="A44:D44"/>
    <mergeCell ref="A1:D1"/>
    <mergeCell ref="A5:D5"/>
    <mergeCell ref="A40:D40"/>
    <mergeCell ref="A45:D45"/>
    <mergeCell ref="A12:D12"/>
    <mergeCell ref="A3:D3"/>
    <mergeCell ref="A26:D26"/>
    <mergeCell ref="A38:D38"/>
    <mergeCell ref="A39:D39"/>
    <mergeCell ref="A43:D43"/>
    <mergeCell ref="A41:D41"/>
    <mergeCell ref="A19:D19"/>
    <mergeCell ref="A10:D10"/>
    <mergeCell ref="A42:D4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Dashboard</vt:lpstr>
      <vt:lpstr>Assumptions</vt:lpstr>
      <vt:lpstr>Calculations</vt:lpstr>
      <vt:lpstr>Scenarios</vt:lpstr>
      <vt:lpstr>Investor Metrics</vt:lpstr>
      <vt:lpstr>Sensitivity Analysis</vt:lpstr>
      <vt:lpstr>Visual Comparisons</vt:lpstr>
      <vt:lpstr>References &amp; Data Sources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Muktha Marulasidda Swamy</cp:lastModifiedBy>
  <dcterms:created xsi:type="dcterms:W3CDTF">2025-11-10T04:27:56Z</dcterms:created>
  <dcterms:modified xsi:type="dcterms:W3CDTF">2025-11-10T04:31:01Z</dcterms:modified>
</cp:coreProperties>
</file>