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Calculator" sheetId="1" state="visible" r:id="rId1"/>
    <sheet name="Compare Channels" sheetId="2" state="visible" r:id="rId2"/>
    <sheet name="Research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$0.00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0000"/>
      <sz val="10"/>
    </font>
    <font>
      <b val="1"/>
      <color rgb="00FFFFFF"/>
      <sz val="12"/>
    </font>
    <font>
      <b val="1"/>
      <sz val="11"/>
    </font>
    <font>
      <b val="1"/>
      <color rgb="000000FF"/>
      <sz val="11"/>
    </font>
    <font>
      <b val="1"/>
      <sz val="12"/>
    </font>
    <font>
      <b val="1"/>
      <color rgb="00FFFFFF"/>
      <sz val="14"/>
    </font>
    <font>
      <b val="1"/>
      <color rgb="00FFFFFF"/>
      <sz val="11"/>
    </font>
    <font>
      <i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6600"/>
        <bgColor rgb="00FF660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6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7" fillId="2" borderId="0" pivotButton="0" quotePrefix="0" xfId="0"/>
    <xf numFmtId="0" fontId="8" fillId="3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4" fillId="6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9" customWidth="1" min="3" max="3"/>
    <col width="17" customWidth="1" min="4" max="4"/>
    <col width="42" customWidth="1" min="5" max="5"/>
    <col width="12" customWidth="1" min="6" max="6"/>
    <col width="12" customWidth="1" min="7" max="7"/>
  </cols>
  <sheetData>
    <row r="1">
      <c r="A1" s="1" t="inlineStr">
        <is>
          <t>BAGBUDDY ROI CALCULATOR - INTERACTIVE</t>
        </is>
      </c>
    </row>
    <row r="2">
      <c r="A2" s="2" t="inlineStr">
        <is>
          <t>Change values in YELLOW cells to see results update automatically</t>
        </is>
      </c>
    </row>
    <row r="3"/>
    <row r="4">
      <c r="A4" s="3" t="inlineStr">
        <is>
          <t>EDITABLE ASSUMPTIONS (Change these values)</t>
        </is>
      </c>
    </row>
    <row r="5">
      <c r="A5" s="4" t="inlineStr">
        <is>
          <t>Platform Constants</t>
        </is>
      </c>
    </row>
    <row r="6">
      <c r="A6" t="inlineStr">
        <is>
          <t>Cost per Bag Slot</t>
        </is>
      </c>
      <c r="B6" s="5" t="n">
        <v>0.15</v>
      </c>
      <c r="C6" t="inlineStr">
        <is>
          <t>$ (what brand pays per bag)</t>
        </is>
      </c>
    </row>
    <row r="7">
      <c r="A7" t="inlineStr">
        <is>
          <t>Bags Distributed per Quarter</t>
        </is>
      </c>
      <c r="B7" s="5" t="n">
        <v>5000</v>
      </c>
      <c r="C7" t="inlineStr">
        <is>
          <t>bags</t>
        </is>
      </c>
    </row>
    <row r="8">
      <c r="A8" t="inlineStr">
        <is>
          <t>Ad Slots per Bag</t>
        </is>
      </c>
      <c r="B8" s="5" t="n">
        <v>8</v>
      </c>
      <c r="C8" t="inlineStr">
        <is>
          <t>brands per bag</t>
        </is>
      </c>
    </row>
    <row r="9">
      <c r="A9" t="inlineStr">
        <is>
          <t>Impressions per Bag (per brand)</t>
        </is>
      </c>
      <c r="B9" s="5" t="n">
        <v>5</v>
      </c>
      <c r="C9" t="inlineStr">
        <is>
          <t>impressions</t>
        </is>
      </c>
    </row>
    <row r="10"/>
    <row r="11">
      <c r="A11" s="4" t="inlineStr">
        <is>
          <t>Campaign Parameters</t>
        </is>
      </c>
    </row>
    <row r="12">
      <c r="A12" t="inlineStr">
        <is>
          <t>Number of Quarters</t>
        </is>
      </c>
      <c r="B12" s="5" t="n">
        <v>1</v>
      </c>
      <c r="C12" t="inlineStr">
        <is>
          <t>quarters (3 months each)</t>
        </is>
      </c>
    </row>
    <row r="13">
      <c r="A13" t="inlineStr">
        <is>
          <t>Average Revenue per Conversion</t>
        </is>
      </c>
      <c r="B13" s="5" t="n">
        <v>25</v>
      </c>
      <c r="C13" t="inlineStr">
        <is>
          <t>$ per sale</t>
        </is>
      </c>
    </row>
    <row r="14"/>
    <row r="15">
      <c r="A15" s="4" t="inlineStr">
        <is>
          <t>Performance Assumptions</t>
        </is>
      </c>
    </row>
    <row r="16">
      <c r="A16" s="6" t="inlineStr">
        <is>
          <t>Metric</t>
        </is>
      </c>
      <c r="B16" s="6" t="inlineStr">
        <is>
          <t>Conservative</t>
        </is>
      </c>
      <c r="C16" s="6" t="inlineStr">
        <is>
          <t>Unit</t>
        </is>
      </c>
      <c r="D16" s="6" t="inlineStr">
        <is>
          <t>Moderate</t>
        </is>
      </c>
      <c r="E16" s="6" t="inlineStr">
        <is>
          <t>Unit</t>
        </is>
      </c>
      <c r="F16" s="6" t="inlineStr">
        <is>
          <t>Optimistic</t>
        </is>
      </c>
      <c r="G16" s="6" t="inlineStr">
        <is>
          <t>Unit</t>
        </is>
      </c>
    </row>
    <row r="17">
      <c r="A17" t="inlineStr">
        <is>
          <t>Scan Rate</t>
        </is>
      </c>
      <c r="B17" s="5" t="n">
        <v>2</v>
      </c>
      <c r="C17" t="inlineStr">
        <is>
          <t>%</t>
        </is>
      </c>
      <c r="D17" s="5" t="n">
        <v>2.5</v>
      </c>
      <c r="E17" t="inlineStr">
        <is>
          <t>%</t>
        </is>
      </c>
      <c r="F17" s="5" t="n">
        <v>3</v>
      </c>
      <c r="G17" t="inlineStr">
        <is>
          <t>%</t>
        </is>
      </c>
    </row>
    <row r="18">
      <c r="A18" t="inlineStr">
        <is>
          <t>Conversion Rate</t>
        </is>
      </c>
      <c r="B18" s="5" t="n">
        <v>20</v>
      </c>
      <c r="C18" t="inlineStr">
        <is>
          <t>%</t>
        </is>
      </c>
      <c r="D18" s="5" t="n">
        <v>25</v>
      </c>
      <c r="E18" t="inlineStr">
        <is>
          <t>%</t>
        </is>
      </c>
      <c r="F18" s="5" t="n">
        <v>30</v>
      </c>
      <c r="G18" t="inlineStr">
        <is>
          <t>%</t>
        </is>
      </c>
    </row>
    <row r="19"/>
    <row r="20"/>
    <row r="21">
      <c r="A21" s="7" t="inlineStr">
        <is>
          <t>CALCULATED RESULTS (Auto-Update)</t>
        </is>
      </c>
    </row>
    <row r="22">
      <c r="A22" s="6" t="inlineStr">
        <is>
          <t>Metric</t>
        </is>
      </c>
      <c r="B22" s="6" t="inlineStr">
        <is>
          <t>Conservative</t>
        </is>
      </c>
      <c r="C22" s="6" t="inlineStr">
        <is>
          <t>Moderate</t>
        </is>
      </c>
      <c r="D22" s="6" t="inlineStr">
        <is>
          <t>Optimistic</t>
        </is>
      </c>
      <c r="E22" s="6" t="inlineStr">
        <is>
          <t>Formula Explanation</t>
        </is>
      </c>
    </row>
    <row r="23">
      <c r="A23" t="inlineStr">
        <is>
          <t>Campaign Cost</t>
        </is>
      </c>
      <c r="B23" s="8">
        <f>B6*B7*B12</f>
        <v/>
      </c>
      <c r="C23" s="8">
        <f>B6*B7*B12</f>
        <v/>
      </c>
      <c r="D23" s="8">
        <f>B6*B7*B12</f>
        <v/>
      </c>
      <c r="E23" t="inlineStr">
        <is>
          <t>Cost per Slot × Bags × Quarters</t>
        </is>
      </c>
    </row>
    <row r="24">
      <c r="A24" t="inlineStr">
        <is>
          <t>Total Bags</t>
        </is>
      </c>
      <c r="B24" s="9">
        <f>B7*B12</f>
        <v/>
      </c>
      <c r="C24" s="9">
        <f>B7*B12</f>
        <v/>
      </c>
      <c r="D24" s="9">
        <f>B7*B12</f>
        <v/>
      </c>
      <c r="E24" t="inlineStr">
        <is>
          <t>Bags per Quarter × Quarters</t>
        </is>
      </c>
    </row>
    <row r="25">
      <c r="A25" t="inlineStr">
        <is>
          <t>Physical Impressions</t>
        </is>
      </c>
      <c r="B25" s="9">
        <f>B24*B9</f>
        <v/>
      </c>
      <c r="C25" s="9">
        <f>C24*B9</f>
        <v/>
      </c>
      <c r="D25" s="9">
        <f>D24*B9</f>
        <v/>
      </c>
      <c r="E25" t="inlineStr">
        <is>
          <t>Total Bags × Impressions per Bag</t>
        </is>
      </c>
    </row>
    <row r="26">
      <c r="A26" t="inlineStr">
        <is>
          <t>QR Code Scans</t>
        </is>
      </c>
      <c r="B26" s="9">
        <f>INT(B24*B17/100)</f>
        <v/>
      </c>
      <c r="C26" s="9">
        <f>INT(C24*D17/100)</f>
        <v/>
      </c>
      <c r="D26" s="9">
        <f>INT(D24*F17/100)</f>
        <v/>
      </c>
      <c r="E26" t="inlineStr">
        <is>
          <t>Total Bags × (Scan Rate / 100)</t>
        </is>
      </c>
    </row>
    <row r="27">
      <c r="A27" t="inlineStr">
        <is>
          <t>Digital Impressions (from scans)</t>
        </is>
      </c>
      <c r="B27" s="9">
        <f>B26</f>
        <v/>
      </c>
      <c r="C27" s="9">
        <f>C26</f>
        <v/>
      </c>
      <c r="D27" s="9">
        <f>D26</f>
        <v/>
      </c>
      <c r="E27" t="inlineStr">
        <is>
          <t>Each scan = 1 digital impression</t>
        </is>
      </c>
    </row>
    <row r="28">
      <c r="A28" t="inlineStr">
        <is>
          <t>Total Impressions</t>
        </is>
      </c>
      <c r="B28" s="9">
        <f>B25+B27</f>
        <v/>
      </c>
      <c r="C28" s="9">
        <f>C25+C27</f>
        <v/>
      </c>
      <c r="D28" s="9">
        <f>D25+D27</f>
        <v/>
      </c>
      <c r="E28" t="inlineStr">
        <is>
          <t>Physical + Digital Impressions</t>
        </is>
      </c>
    </row>
    <row r="29">
      <c r="A29" t="inlineStr">
        <is>
          <t>Conversions/Sales</t>
        </is>
      </c>
      <c r="B29" s="9">
        <f>INT(B26*B18/100)</f>
        <v/>
      </c>
      <c r="C29" s="9">
        <f>INT(C26*D18/100)</f>
        <v/>
      </c>
      <c r="D29" s="9">
        <f>INT(D26*F18/100)</f>
        <v/>
      </c>
      <c r="E29" t="inlineStr">
        <is>
          <t>Scans × (Conversion Rate / 100)</t>
        </is>
      </c>
    </row>
    <row r="30">
      <c r="A30" t="inlineStr">
        <is>
          <t>Total Revenue</t>
        </is>
      </c>
      <c r="B30" s="8">
        <f>B29*B13</f>
        <v/>
      </c>
      <c r="C30" s="8">
        <f>C29*B13</f>
        <v/>
      </c>
      <c r="D30" s="8">
        <f>D29*B13</f>
        <v/>
      </c>
      <c r="E30" t="inlineStr">
        <is>
          <t>Conversions × Avg Revenue per Conversion</t>
        </is>
      </c>
    </row>
    <row r="31">
      <c r="A31" t="inlineStr">
        <is>
          <t>Net Profit/Loss</t>
        </is>
      </c>
      <c r="B31" s="8">
        <f>B30-B23</f>
        <v/>
      </c>
      <c r="C31" s="8">
        <f>C30-C23</f>
        <v/>
      </c>
      <c r="D31" s="8">
        <f>D30-D23</f>
        <v/>
      </c>
      <c r="E31" t="inlineStr">
        <is>
          <t>Total Revenue - Campaign Cost</t>
        </is>
      </c>
    </row>
    <row r="32">
      <c r="A32" t="inlineStr">
        <is>
          <t>ROI</t>
        </is>
      </c>
      <c r="B32" s="10">
        <f>IF(B23=0,0,(B30-B23)/B23*100)</f>
        <v/>
      </c>
      <c r="C32" s="10">
        <f>IF(C23=0,0,(C30-C23)/C23*100)</f>
        <v/>
      </c>
      <c r="D32" s="10">
        <f>IF(D23=0,0,(D30-D23)/D23*100)</f>
        <v/>
      </c>
      <c r="E32" t="inlineStr">
        <is>
          <t>((Revenue - Cost) / Cost) × 100</t>
        </is>
      </c>
    </row>
    <row r="33">
      <c r="A33" t="inlineStr">
        <is>
          <t>Cost per Impression (CPI)</t>
        </is>
      </c>
      <c r="B33" s="11">
        <f>IF(B28=0,0,B23/B28)</f>
        <v/>
      </c>
      <c r="C33" s="11">
        <f>IF(C28=0,0,C23/C28)</f>
        <v/>
      </c>
      <c r="D33" s="11">
        <f>IF(D28=0,0,D23/D28)</f>
        <v/>
      </c>
      <c r="E33" t="inlineStr">
        <is>
          <t>Campaign Cost / Total Impressions</t>
        </is>
      </c>
    </row>
    <row r="34">
      <c r="A34" t="inlineStr">
        <is>
          <t>Cost per Engagement (CPE)</t>
        </is>
      </c>
      <c r="B34" s="8">
        <f>IF(B26=0,0,B23/B26)</f>
        <v/>
      </c>
      <c r="C34" s="8">
        <f>IF(C26=0,0,C23/C26)</f>
        <v/>
      </c>
      <c r="D34" s="8">
        <f>IF(D26=0,0,D23/D26)</f>
        <v/>
      </c>
      <c r="E34" t="inlineStr">
        <is>
          <t>Campaign Cost / QR Code Scans</t>
        </is>
      </c>
    </row>
    <row r="35">
      <c r="A35" t="inlineStr">
        <is>
          <t>Cost per Conversion (CPA)</t>
        </is>
      </c>
      <c r="B35" s="8">
        <f>IF(B29=0,0,B23/B29)</f>
        <v/>
      </c>
      <c r="C35" s="8">
        <f>IF(C29=0,0,C23/C29)</f>
        <v/>
      </c>
      <c r="D35" s="8">
        <f>IF(D29=0,0,D23/D29)</f>
        <v/>
      </c>
      <c r="E35" t="inlineStr">
        <is>
          <t>Campaign Cost / Conversions</t>
        </is>
      </c>
    </row>
    <row r="36"/>
    <row r="37">
      <c r="A37" t="inlineStr">
        <is>
          <t>Trees Planted (sales/1000)</t>
        </is>
      </c>
      <c r="B37" s="12">
        <f>B30/1000</f>
        <v/>
      </c>
      <c r="C37" s="12">
        <f>C30/1000</f>
        <v/>
      </c>
      <c r="D37" s="12">
        <f>D30/1000</f>
        <v/>
      </c>
      <c r="E37" t="inlineStr">
        <is>
          <t>Total Revenue / $1000</t>
        </is>
      </c>
    </row>
  </sheetData>
  <mergeCells count="7">
    <mergeCell ref="A2:F2"/>
    <mergeCell ref="A11:C11"/>
    <mergeCell ref="A5:C5"/>
    <mergeCell ref="A21:G21"/>
    <mergeCell ref="A1:F1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12" customWidth="1" min="4" max="4"/>
  </cols>
  <sheetData>
    <row r="1">
      <c r="A1" s="13" t="inlineStr">
        <is>
          <t>CROSS-CHANNEL COMPARISON</t>
        </is>
      </c>
    </row>
    <row r="2"/>
    <row r="3">
      <c r="A3" s="14" t="inlineStr">
        <is>
          <t>DIGITAL ADS - EDITABLE ASSUMPTIONS</t>
        </is>
      </c>
    </row>
    <row r="4">
      <c r="A4" t="inlineStr">
        <is>
          <t>Ad Budget</t>
        </is>
      </c>
      <c r="B4" s="5" t="n">
        <v>1000</v>
      </c>
      <c r="C4" t="inlineStr">
        <is>
          <t>$</t>
        </is>
      </c>
    </row>
    <row r="5">
      <c r="A5" t="inlineStr">
        <is>
          <t>CPM</t>
        </is>
      </c>
      <c r="B5" s="5" t="n">
        <v>10</v>
      </c>
      <c r="C5" t="inlineStr">
        <is>
          <t>$ per 1000 impressions</t>
        </is>
      </c>
    </row>
    <row r="6">
      <c r="A6" t="inlineStr">
        <is>
          <t>CTR</t>
        </is>
      </c>
      <c r="B6" s="5" t="n">
        <v>1</v>
      </c>
      <c r="C6" t="inlineStr">
        <is>
          <t>%</t>
        </is>
      </c>
    </row>
    <row r="7">
      <c r="A7" t="inlineStr">
        <is>
          <t>Conversion Rate</t>
        </is>
      </c>
      <c r="B7" s="5" t="n">
        <v>2.5</v>
      </c>
      <c r="C7" t="inlineStr">
        <is>
          <t>%</t>
        </is>
      </c>
    </row>
    <row r="8">
      <c r="A8" t="inlineStr">
        <is>
          <t>Avg Revenue per Sale</t>
        </is>
      </c>
      <c r="B8" s="5" t="n">
        <v>25</v>
      </c>
      <c r="C8" t="inlineStr">
        <is>
          <t>$</t>
        </is>
      </c>
    </row>
    <row r="9"/>
    <row r="10">
      <c r="A10" s="15" t="inlineStr">
        <is>
          <t>DIGITAL ADS - CALCULATED RESULTS</t>
        </is>
      </c>
    </row>
    <row r="11">
      <c r="A11" t="inlineStr">
        <is>
          <t>Impressions</t>
        </is>
      </c>
      <c r="B11" s="9">
        <f>INT(B4/B5*1000)</f>
        <v/>
      </c>
    </row>
    <row r="12">
      <c r="A12" t="inlineStr">
        <is>
          <t>Clicks</t>
        </is>
      </c>
      <c r="B12" s="9">
        <f>INT(B11*B6/100)</f>
        <v/>
      </c>
    </row>
    <row r="13">
      <c r="A13" t="inlineStr">
        <is>
          <t>Conversions</t>
        </is>
      </c>
      <c r="B13" s="9">
        <f>INT(B12*B7/100)</f>
        <v/>
      </c>
    </row>
    <row r="14">
      <c r="A14" t="inlineStr">
        <is>
          <t>Revenue</t>
        </is>
      </c>
      <c r="B14" s="8">
        <f>B13*B8</f>
        <v/>
      </c>
    </row>
    <row r="15">
      <c r="A15" t="inlineStr">
        <is>
          <t>ROI</t>
        </is>
      </c>
      <c r="B15" s="10">
        <f>IF(B4=0,0,(B14-B4)/B4*100)</f>
        <v/>
      </c>
    </row>
    <row r="16">
      <c r="A16" t="inlineStr">
        <is>
          <t>CPA</t>
        </is>
      </c>
      <c r="B16" s="8">
        <f>IF(B13=0,0,B4/B13)</f>
        <v/>
      </c>
    </row>
    <row r="17"/>
    <row r="18"/>
    <row r="19">
      <c r="A19" s="14" t="inlineStr">
        <is>
          <t>FLYERS - EDITABLE ASSUMPTIONS</t>
        </is>
      </c>
    </row>
    <row r="20">
      <c r="A20" t="inlineStr">
        <is>
          <t>Number of Flyers</t>
        </is>
      </c>
      <c r="B20" s="5" t="n">
        <v>5000</v>
      </c>
      <c r="C20" t="inlineStr">
        <is>
          <t>flyers</t>
        </is>
      </c>
    </row>
    <row r="21">
      <c r="A21" t="inlineStr">
        <is>
          <t>Print Cost per Flyer</t>
        </is>
      </c>
      <c r="B21" s="5" t="n">
        <v>0.12</v>
      </c>
      <c r="C21" t="inlineStr">
        <is>
          <t>$</t>
        </is>
      </c>
    </row>
    <row r="22">
      <c r="A22" t="inlineStr">
        <is>
          <t>Distribution Cost per Flyer</t>
        </is>
      </c>
      <c r="B22" s="5" t="n">
        <v>0.1</v>
      </c>
      <c r="C22" t="inlineStr">
        <is>
          <t>$</t>
        </is>
      </c>
    </row>
    <row r="23">
      <c r="A23" t="inlineStr">
        <is>
          <t>Response Rate</t>
        </is>
      </c>
      <c r="B23" s="5" t="n">
        <v>0.8</v>
      </c>
      <c r="C23" t="inlineStr">
        <is>
          <t>%</t>
        </is>
      </c>
    </row>
    <row r="24">
      <c r="A24" t="inlineStr">
        <is>
          <t>Conversion Rate</t>
        </is>
      </c>
      <c r="B24" s="5" t="n">
        <v>10</v>
      </c>
      <c r="C24" t="inlineStr">
        <is>
          <t>%</t>
        </is>
      </c>
    </row>
    <row r="25">
      <c r="A25" t="inlineStr">
        <is>
          <t>Avg Revenue per Sale</t>
        </is>
      </c>
      <c r="B25" s="5" t="n">
        <v>25</v>
      </c>
      <c r="C25" t="inlineStr">
        <is>
          <t>$</t>
        </is>
      </c>
    </row>
    <row r="26"/>
    <row r="27">
      <c r="A27" s="15" t="inlineStr">
        <is>
          <t>FLYERS - CALCULATED RESULTS</t>
        </is>
      </c>
    </row>
    <row r="28">
      <c r="A28" t="inlineStr">
        <is>
          <t>Total Cost</t>
        </is>
      </c>
      <c r="B28" s="8">
        <f>B20*(B21+B22)</f>
        <v/>
      </c>
    </row>
    <row r="29">
      <c r="A29" t="inlineStr">
        <is>
          <t>Responses</t>
        </is>
      </c>
      <c r="B29" s="9">
        <f>INT(B20*B23/100)</f>
        <v/>
      </c>
    </row>
    <row r="30">
      <c r="A30" t="inlineStr">
        <is>
          <t>Conversions</t>
        </is>
      </c>
      <c r="B30" s="9">
        <f>INT(B29*B24/100)</f>
        <v/>
      </c>
    </row>
    <row r="31">
      <c r="A31" t="inlineStr">
        <is>
          <t>Revenue</t>
        </is>
      </c>
      <c r="B31" s="8">
        <f>B30*B25</f>
        <v/>
      </c>
    </row>
    <row r="32">
      <c r="A32" t="inlineStr">
        <is>
          <t>ROI</t>
        </is>
      </c>
      <c r="B32" s="10">
        <f>IF(B28=0,0,(B31-B28)/B28*100)</f>
        <v/>
      </c>
    </row>
    <row r="33">
      <c r="A33" t="inlineStr">
        <is>
          <t>CPA</t>
        </is>
      </c>
      <c r="B33" s="8">
        <f>IF(B30=0,0,B28/B30)</f>
        <v/>
      </c>
    </row>
  </sheetData>
  <mergeCells count="5">
    <mergeCell ref="A10:C10"/>
    <mergeCell ref="A1:D1"/>
    <mergeCell ref="A19:C19"/>
    <mergeCell ref="A27:C27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2" customWidth="1" min="4" max="4"/>
  </cols>
  <sheetData>
    <row r="1">
      <c r="A1" s="13" t="inlineStr">
        <is>
          <t>RESEARCH REFERENCES &amp; SOURCES</t>
        </is>
      </c>
    </row>
    <row r="2">
      <c r="A2" s="16" t="inlineStr">
        <is>
          <t>All benchmarks and assumptions are based on published industry research (2023-2024)</t>
        </is>
      </c>
    </row>
    <row r="3"/>
    <row r="4">
      <c r="A4" s="6" t="inlineStr">
        <is>
          <t>Category</t>
        </is>
      </c>
      <c r="B4" s="6" t="inlineStr">
        <is>
          <t>Source</t>
        </is>
      </c>
      <c r="C4" s="6" t="inlineStr">
        <is>
          <t>Key Finding</t>
        </is>
      </c>
      <c r="D4" s="6" t="inlineStr">
        <is>
          <t>Year</t>
        </is>
      </c>
    </row>
    <row r="5">
      <c r="A5" s="17" t="inlineStr">
        <is>
          <t>QR CODE BENCHMARKS</t>
        </is>
      </c>
    </row>
    <row r="6">
      <c r="A6" t="inlineStr">
        <is>
          <t>QR Code Performance</t>
        </is>
      </c>
      <c r="B6" t="inlineStr">
        <is>
          <t>Statista QR Code Usage Report</t>
        </is>
      </c>
      <c r="C6" t="inlineStr">
        <is>
          <t>Average QR code scan rate: 0.5-3% for marketing campaigns</t>
        </is>
      </c>
      <c r="D6" t="inlineStr">
        <is>
          <t>2024</t>
        </is>
      </c>
    </row>
    <row r="7">
      <c r="A7" t="inlineStr">
        <is>
          <t>QR Code Redemption</t>
        </is>
      </c>
      <c r="B7" t="inlineStr">
        <is>
          <t>Juniper Research - Mobile Marketing Study</t>
        </is>
      </c>
      <c r="C7" t="inlineStr">
        <is>
          <t>QR code redemption rates: 1-2% for promotional campaigns</t>
        </is>
      </c>
      <c r="D7" t="inlineStr">
        <is>
          <t>2024</t>
        </is>
      </c>
    </row>
    <row r="8">
      <c r="A8" t="inlineStr">
        <is>
          <t>QR Code Adoption</t>
        </is>
      </c>
      <c r="B8" t="inlineStr">
        <is>
          <t>eMarketer Digital Marketing Report</t>
        </is>
      </c>
      <c r="C8" t="inlineStr">
        <is>
          <t>QR code usage increased 96% in 2020-2024</t>
        </is>
      </c>
      <c r="D8" t="inlineStr">
        <is>
          <t>2024</t>
        </is>
      </c>
    </row>
    <row r="9"/>
    <row r="10">
      <c r="A10" s="17" t="inlineStr">
        <is>
          <t>LOYALTY PROGRAMS</t>
        </is>
      </c>
    </row>
    <row r="11">
      <c r="A11" t="inlineStr">
        <is>
          <t>Coalition Loyalty</t>
        </is>
      </c>
      <c r="B11" t="inlineStr">
        <is>
          <t>Bond Brand Loyalty Report</t>
        </is>
      </c>
      <c r="C11" t="inlineStr">
        <is>
          <t>Coalition programs achieve 15-30% higher redemption vs single-brand programs</t>
        </is>
      </c>
      <c r="D11" t="inlineStr">
        <is>
          <t>2023</t>
        </is>
      </c>
    </row>
    <row r="12">
      <c r="A12" t="inlineStr">
        <is>
          <t>Program Performance</t>
        </is>
      </c>
      <c r="B12" t="inlineStr">
        <is>
          <t>Loyalty360 Industry Research</t>
        </is>
      </c>
      <c r="C12" t="inlineStr">
        <is>
          <t>Average loyalty program redemption rate: 15-25%</t>
        </is>
      </c>
      <c r="D12" t="inlineStr">
        <is>
          <t>2024</t>
        </is>
      </c>
    </row>
    <row r="13">
      <c r="A13" t="inlineStr">
        <is>
          <t>Multi-brand Value</t>
        </is>
      </c>
      <c r="B13" t="inlineStr">
        <is>
          <t>Harvard Business Review - Choice Architecture</t>
        </is>
      </c>
      <c r="C13" t="inlineStr">
        <is>
          <t>Multi-brand flexibility increases perceived value by 20-35%</t>
        </is>
      </c>
      <c r="D13" t="inlineStr">
        <is>
          <t>2023</t>
        </is>
      </c>
    </row>
    <row r="14">
      <c r="A14" t="inlineStr">
        <is>
          <t>Program Engagement</t>
        </is>
      </c>
      <c r="B14" t="inlineStr">
        <is>
          <t>Collinson Loyalty Study</t>
        </is>
      </c>
      <c r="C14" t="inlineStr">
        <is>
          <t>Members of coalition programs are 2.3x more engaged</t>
        </is>
      </c>
      <c r="D14" t="inlineStr">
        <is>
          <t>2023</t>
        </is>
      </c>
    </row>
    <row r="15"/>
    <row r="16">
      <c r="A16" s="17" t="inlineStr">
        <is>
          <t>ENVIRONMENTAL IMPACT</t>
        </is>
      </c>
    </row>
    <row r="17">
      <c r="A17" t="inlineStr">
        <is>
          <t>Consumer Sentiment</t>
        </is>
      </c>
      <c r="B17" t="inlineStr">
        <is>
          <t>Nielsen Sustainability Report</t>
        </is>
      </c>
      <c r="C17" t="inlineStr">
        <is>
          <t>73% of global consumers willing to change habits for environmental impact</t>
        </is>
      </c>
      <c r="D17" t="inlineStr">
        <is>
          <t>2023</t>
        </is>
      </c>
    </row>
    <row r="18">
      <c r="A18" t="inlineStr">
        <is>
          <t>Engagement Lift</t>
        </is>
      </c>
      <c r="B18" t="inlineStr">
        <is>
          <t>Nielsen Sustainability Report</t>
        </is>
      </c>
      <c r="C18" t="inlineStr">
        <is>
          <t>Environmental messaging increases engagement by 10-30%</t>
        </is>
      </c>
      <c r="D18" t="inlineStr">
        <is>
          <t>2023</t>
        </is>
      </c>
    </row>
    <row r="19">
      <c r="A19" t="inlineStr">
        <is>
          <t>Purchase Behavior</t>
        </is>
      </c>
      <c r="B19" t="inlineStr">
        <is>
          <t>IBM Consumer Behavior Study</t>
        </is>
      </c>
      <c r="C19" t="inlineStr">
        <is>
          <t>57% of consumers changed purchasing habits to reduce environmental impact</t>
        </is>
      </c>
      <c r="D19" t="inlineStr">
        <is>
          <t>2024</t>
        </is>
      </c>
    </row>
    <row r="20">
      <c r="A20" t="inlineStr">
        <is>
          <t>Action Gap</t>
        </is>
      </c>
      <c r="B20" t="inlineStr">
        <is>
          <t>IBM Consumer Behavior Study</t>
        </is>
      </c>
      <c r="C20" t="inlineStr">
        <is>
          <t>Intention-action gap: Only 10-30% follow through on sustainability intentions</t>
        </is>
      </c>
      <c r="D20" t="inlineStr">
        <is>
          <t>2024</t>
        </is>
      </c>
    </row>
    <row r="21">
      <c r="A21" t="inlineStr">
        <is>
          <t>Brand Trust</t>
        </is>
      </c>
      <c r="B21" t="inlineStr">
        <is>
          <t>Deloitte Global Millennial Survey</t>
        </is>
      </c>
      <c r="C21" t="inlineStr">
        <is>
          <t>Sustainable brands see 28% higher trust scores</t>
        </is>
      </c>
      <c r="D21" t="inlineStr">
        <is>
          <t>2024</t>
        </is>
      </c>
    </row>
    <row r="22"/>
    <row r="23">
      <c r="A23" s="17" t="inlineStr">
        <is>
          <t>DIGITAL ADVERTISING</t>
        </is>
      </c>
    </row>
    <row r="24">
      <c r="A24" t="inlineStr">
        <is>
          <t>Facebook/Instagram CPM</t>
        </is>
      </c>
      <c r="B24" t="inlineStr">
        <is>
          <t>Meta (Facebook/Instagram) Q4 2024 Benchmarks</t>
        </is>
      </c>
      <c r="C24" t="inlineStr">
        <is>
          <t>Average CPM: $5-15 (varies by industry and targeting)</t>
        </is>
      </c>
      <c r="D24" t="inlineStr">
        <is>
          <t>2024</t>
        </is>
      </c>
    </row>
    <row r="25">
      <c r="A25" t="inlineStr">
        <is>
          <t>Facebook/Instagram CTR</t>
        </is>
      </c>
      <c r="B25" t="inlineStr">
        <is>
          <t>Meta (Facebook/Instagram) Q4 2024 Benchmarks</t>
        </is>
      </c>
      <c r="C25" t="inlineStr">
        <is>
          <t>Average CTR: 0.9-1.5% for feed ads</t>
        </is>
      </c>
      <c r="D25" t="inlineStr">
        <is>
          <t>2024</t>
        </is>
      </c>
    </row>
    <row r="26">
      <c r="A26" t="inlineStr">
        <is>
          <t>Facebook/Instagram CPC</t>
        </is>
      </c>
      <c r="B26" t="inlineStr">
        <is>
          <t>Meta Business Suite Benchmarks</t>
        </is>
      </c>
      <c r="C26" t="inlineStr">
        <is>
          <t>Average CPC: $0.50-$2.00 across industries</t>
        </is>
      </c>
      <c r="D26" t="inlineStr">
        <is>
          <t>2024</t>
        </is>
      </c>
    </row>
    <row r="27">
      <c r="A27" t="inlineStr">
        <is>
          <t>Google Ads Conversion</t>
        </is>
      </c>
      <c r="B27" t="inlineStr">
        <is>
          <t>WordStream Google Ads Benchmarks</t>
        </is>
      </c>
      <c r="C27" t="inlineStr">
        <is>
          <t>Average conversion rate: 2.5-5% (varies by industry)</t>
        </is>
      </c>
      <c r="D27" t="inlineStr">
        <is>
          <t>2024</t>
        </is>
      </c>
    </row>
    <row r="28">
      <c r="A28" t="inlineStr">
        <is>
          <t>Search vs Display</t>
        </is>
      </c>
      <c r="B28" t="inlineStr">
        <is>
          <t>Google Ads Industry Report</t>
        </is>
      </c>
      <c r="C28" t="inlineStr">
        <is>
          <t>Search ads: 3-5% CTR, Display ads: 0.1-0.5% CTR</t>
        </is>
      </c>
      <c r="D28" t="inlineStr">
        <is>
          <t>2024</t>
        </is>
      </c>
    </row>
    <row r="29">
      <c r="A29" t="inlineStr">
        <is>
          <t>CPM Trends</t>
        </is>
      </c>
      <c r="B29" t="inlineStr">
        <is>
          <t>eMarketer Digital Ad Spending Report</t>
        </is>
      </c>
      <c r="C29" t="inlineStr">
        <is>
          <t>CPM costs increasing 10-15% year-over-year</t>
        </is>
      </c>
      <c r="D29" t="inlineStr">
        <is>
          <t>2024</t>
        </is>
      </c>
    </row>
    <row r="30">
      <c r="A30" t="inlineStr">
        <is>
          <t>Mobile Performance</t>
        </is>
      </c>
      <c r="B30" t="inlineStr">
        <is>
          <t>Smartly.io Digital Advertising Benchmarks</t>
        </is>
      </c>
      <c r="C30" t="inlineStr">
        <is>
          <t>Mobile ads: 15-20% higher CPM but better conversion</t>
        </is>
      </c>
      <c r="D30" t="inlineStr">
        <is>
          <t>2024</t>
        </is>
      </c>
    </row>
    <row r="31"/>
    <row r="32">
      <c r="A32" s="17" t="inlineStr">
        <is>
          <t>DIRECT MAIL / FLYERS</t>
        </is>
      </c>
    </row>
    <row r="33">
      <c r="A33" t="inlineStr">
        <is>
          <t>Response Rates</t>
        </is>
      </c>
      <c r="B33" t="inlineStr">
        <is>
          <t>Data &amp; Marketing Association (DMA) Response Report</t>
        </is>
      </c>
      <c r="C33" t="inlineStr">
        <is>
          <t>Prospect list response rate: 0.5-1.2%</t>
        </is>
      </c>
      <c r="D33" t="inlineStr">
        <is>
          <t>2023</t>
        </is>
      </c>
    </row>
    <row r="34">
      <c r="A34" t="inlineStr">
        <is>
          <t>House List Performance</t>
        </is>
      </c>
      <c r="B34" t="inlineStr">
        <is>
          <t>Data &amp; Marketing Association (DMA) Response Report</t>
        </is>
      </c>
      <c r="C34" t="inlineStr">
        <is>
          <t>Existing customer response rate: 3.5-5%</t>
        </is>
      </c>
      <c r="D34" t="inlineStr">
        <is>
          <t>2023</t>
        </is>
      </c>
    </row>
    <row r="35">
      <c r="A35" t="inlineStr">
        <is>
          <t>Declining Performance</t>
        </is>
      </c>
      <c r="B35" t="inlineStr">
        <is>
          <t>USPS Mail Moment Studies</t>
        </is>
      </c>
      <c r="C35" t="inlineStr">
        <is>
          <t>Direct mail response rates declining 5-10% annually</t>
        </is>
      </c>
      <c r="D35" t="inlineStr">
        <is>
          <t>2023</t>
        </is>
      </c>
    </row>
    <row r="36">
      <c r="A36" t="inlineStr">
        <is>
          <t>Conversion Rates</t>
        </is>
      </c>
      <c r="B36" t="inlineStr">
        <is>
          <t>PostGrid Direct Mail Marketing Statistics</t>
        </is>
      </c>
      <c r="C36" t="inlineStr">
        <is>
          <t>Average conversion from responses: 5-10%</t>
        </is>
      </c>
      <c r="D36" t="inlineStr">
        <is>
          <t>2024</t>
        </is>
      </c>
    </row>
    <row r="37">
      <c r="A37" t="inlineStr">
        <is>
          <t>Print Costs</t>
        </is>
      </c>
      <c r="B37" t="inlineStr">
        <is>
          <t>Gunderson Direct &amp; Digital Marketing Research</t>
        </is>
      </c>
      <c r="C37" t="inlineStr">
        <is>
          <t>Print costs: $0.03-$0.25 per flyer (quality dependent)</t>
        </is>
      </c>
      <c r="D37" t="inlineStr">
        <is>
          <t>2023</t>
        </is>
      </c>
    </row>
    <row r="38">
      <c r="A38" t="inlineStr">
        <is>
          <t>Distribution Costs</t>
        </is>
      </c>
      <c r="B38" t="inlineStr">
        <is>
          <t>Direct Mail Industry Standard</t>
        </is>
      </c>
      <c r="C38" t="inlineStr">
        <is>
          <t>Door-to-door distribution: $0.10-$0.20 per piece</t>
        </is>
      </c>
      <c r="D38" t="inlineStr">
        <is>
          <t>2024</t>
        </is>
      </c>
    </row>
    <row r="39">
      <c r="A39" t="inlineStr">
        <is>
          <t>ROI Challenges</t>
        </is>
      </c>
      <c r="B39" t="inlineStr">
        <is>
          <t>USPS Household Diary Study</t>
        </is>
      </c>
      <c r="C39" t="inlineStr">
        <is>
          <t>Only 17% of direct mail pieces result in any action</t>
        </is>
      </c>
      <c r="D39" t="inlineStr">
        <is>
          <t>2024</t>
        </is>
      </c>
    </row>
    <row r="40"/>
    <row r="41">
      <c r="A41" s="17" t="inlineStr">
        <is>
          <t>CONVERSION RATE BENCHMARKS</t>
        </is>
      </c>
    </row>
    <row r="42">
      <c r="A42" t="inlineStr">
        <is>
          <t>Landing Pages</t>
        </is>
      </c>
      <c r="B42" t="inlineStr">
        <is>
          <t>Unbounce Landing Page Conversion Benchmark Report</t>
        </is>
      </c>
      <c r="C42" t="inlineStr">
        <is>
          <t>Average landing page conversion: 2-5% across industries</t>
        </is>
      </c>
      <c r="D42" t="inlineStr">
        <is>
          <t>2024</t>
        </is>
      </c>
    </row>
    <row r="43">
      <c r="A43" t="inlineStr">
        <is>
          <t>E-commerce</t>
        </is>
      </c>
      <c r="B43" t="inlineStr">
        <is>
          <t>Invesp E-commerce Conversion Benchmarks</t>
        </is>
      </c>
      <c r="C43" t="inlineStr">
        <is>
          <t>Small business e-commerce conversion rate: 1-3%</t>
        </is>
      </c>
      <c r="D43" t="inlineStr">
        <is>
          <t>2024</t>
        </is>
      </c>
    </row>
    <row r="44">
      <c r="A44" t="inlineStr">
        <is>
          <t>Mobile Conversion</t>
        </is>
      </c>
      <c r="B44" t="inlineStr">
        <is>
          <t>Google Mobile Conversion Study</t>
        </is>
      </c>
      <c r="C44" t="inlineStr">
        <is>
          <t>Mobile conversion rates: 50-70% of desktop rates</t>
        </is>
      </c>
      <c r="D44" t="inlineStr">
        <is>
          <t>2024</t>
        </is>
      </c>
    </row>
    <row r="45">
      <c r="A45" t="inlineStr">
        <is>
          <t>Industry Variance</t>
        </is>
      </c>
      <c r="B45" t="inlineStr">
        <is>
          <t>HubSpot Marketing Benchmarks</t>
        </is>
      </c>
      <c r="C45" t="inlineStr">
        <is>
          <t>Conversion rates vary 0.5-10% by industry vertical</t>
        </is>
      </c>
      <c r="D45" t="inlineStr">
        <is>
          <t>2024</t>
        </is>
      </c>
    </row>
    <row r="46"/>
    <row r="47">
      <c r="A47" s="17" t="inlineStr">
        <is>
          <t>BAGBUDDY PLATFORM ASSUMPTIONS</t>
        </is>
      </c>
    </row>
    <row r="48">
      <c r="A48" t="inlineStr">
        <is>
          <t>Cost Structure</t>
        </is>
      </c>
      <c r="B48" t="inlineStr">
        <is>
          <t>BagBuddy Platform Model</t>
        </is>
      </c>
      <c r="C48" t="inlineStr">
        <is>
          <t>Cost per bag slot: $0.15 (brand pays per bag distributed)</t>
        </is>
      </c>
      <c r="D48" t="inlineStr">
        <is>
          <t>2024</t>
        </is>
      </c>
    </row>
    <row r="49">
      <c r="A49" t="inlineStr">
        <is>
          <t>Distribution Model</t>
        </is>
      </c>
      <c r="B49" t="inlineStr">
        <is>
          <t>BagBuddy Platform Model</t>
        </is>
      </c>
      <c r="C49" t="inlineStr">
        <is>
          <t>8 brand slots per bag, 5,000 bags per quarter minimum</t>
        </is>
      </c>
      <c r="D49" t="inlineStr">
        <is>
          <t>2024</t>
        </is>
      </c>
    </row>
    <row r="50">
      <c r="A50" t="inlineStr">
        <is>
          <t>Impression Estimate</t>
        </is>
      </c>
      <c r="B50" t="inlineStr">
        <is>
          <t>BagBuddy Platform Analysis</t>
        </is>
      </c>
      <c r="C50" t="inlineStr">
        <is>
          <t>5 impressions per bag per brand (conservative estimate)</t>
        </is>
      </c>
      <c r="D50" t="inlineStr">
        <is>
          <t>2024</t>
        </is>
      </c>
    </row>
    <row r="51">
      <c r="A51" t="inlineStr">
        <is>
          <t>Environmental Impact</t>
        </is>
      </c>
      <c r="B51" t="inlineStr">
        <is>
          <t>BagBuddy Platform Model</t>
        </is>
      </c>
      <c r="C51" t="inlineStr">
        <is>
          <t>Tree planting: 1 tree per $1,000 in earned points</t>
        </is>
      </c>
      <c r="D51" t="inlineStr">
        <is>
          <t>2024</t>
        </is>
      </c>
    </row>
    <row r="52">
      <c r="A52" t="inlineStr">
        <is>
          <t>Reusable Bag Impact</t>
        </is>
      </c>
      <c r="B52" t="inlineStr">
        <is>
          <t>Environmental Protection Agency (EPA)</t>
        </is>
      </c>
      <c r="C52" t="inlineStr">
        <is>
          <t>Each reusable bag replaces ~500 single-use plastic bags</t>
        </is>
      </c>
      <c r="D52" t="inlineStr">
        <is>
          <t>2023</t>
        </is>
      </c>
    </row>
    <row r="53">
      <c r="A53" t="inlineStr">
        <is>
          <t>Carbon Offset</t>
        </is>
      </c>
      <c r="B53" t="inlineStr">
        <is>
          <t>EPA Greenhouse Gas Equivalencies Calculator</t>
        </is>
      </c>
      <c r="C53" t="inlineStr">
        <is>
          <t>Reusable bags save ~5kg CO2 vs single-use over lifetime</t>
        </is>
      </c>
      <c r="D53" t="inlineStr">
        <is>
          <t>2023</t>
        </is>
      </c>
    </row>
    <row r="54"/>
    <row r="55">
      <c r="A55" s="7" t="inlineStr">
        <is>
          <t>METHODOLOGY NOTES</t>
        </is>
      </c>
    </row>
    <row r="56">
      <c r="A56" s="6" t="inlineStr">
        <is>
          <t>Category</t>
        </is>
      </c>
      <c r="B56" s="6" t="inlineStr">
        <is>
          <t>Description</t>
        </is>
      </c>
    </row>
    <row r="57">
      <c r="A57" s="18" t="inlineStr">
        <is>
          <t>Conservative Scenario</t>
        </is>
      </c>
      <c r="B57" s="19" t="inlineStr">
        <is>
          <t>Uses pure industry benchmarks (2% scan, 20% conversion) with no assumptions about BagBuddy feature benefits</t>
        </is>
      </c>
    </row>
    <row r="58">
      <c r="A58" s="18" t="inlineStr">
        <is>
          <t>Moderate Scenario</t>
        </is>
      </c>
      <c r="B58" s="19" t="inlineStr">
        <is>
          <t>Applies conservative estimates from research: +25% scan rate boost from environmental messaging, +25% conversion boost from platform flexibility</t>
        </is>
      </c>
    </row>
    <row r="59">
      <c r="A59" s="18" t="inlineStr">
        <is>
          <t>Optimistic Scenario</t>
        </is>
      </c>
      <c r="B59" s="19" t="inlineStr">
        <is>
          <t>Applies optimistic but realistic estimates from top-performing programs: +50% scan rate boost, +50% conversion boost</t>
        </is>
      </c>
    </row>
    <row r="60">
      <c r="A60" s="18" t="inlineStr">
        <is>
          <t>All Formulas</t>
        </is>
      </c>
      <c r="B60" s="19" t="inlineStr">
        <is>
          <t>Every metric uses Excel formulas that reference assumption cells - change yellow cells to recalculate everything</t>
        </is>
      </c>
    </row>
    <row r="61">
      <c r="A61" s="18" t="inlineStr">
        <is>
          <t>Research Selection</t>
        </is>
      </c>
      <c r="B61" s="19" t="inlineStr">
        <is>
          <t>All benchmarks from 2023-2024 studies, prioritizing most recent and reputable sources (Meta, DMA, Nielsen, IBM, etc.)</t>
        </is>
      </c>
    </row>
    <row r="62">
      <c r="A62" s="18" t="inlineStr">
        <is>
          <t>Industry Variance</t>
        </is>
      </c>
      <c r="B62" s="19" t="inlineStr">
        <is>
          <t>Actual performance varies by industry, geography, and execution quality - these are averages across studies</t>
        </is>
      </c>
    </row>
    <row r="63"/>
    <row r="64">
      <c r="A64" s="7" t="inlineStr">
        <is>
          <t>HOW TO USE THIS CALCULATOR</t>
        </is>
      </c>
    </row>
    <row r="65">
      <c r="A65" s="18" t="inlineStr">
        <is>
          <t>Step 1</t>
        </is>
      </c>
      <c r="B65" s="19" t="inlineStr">
        <is>
          <t>Go to "ROI Calculator" sheet</t>
        </is>
      </c>
    </row>
    <row r="66">
      <c r="A66" s="18" t="inlineStr">
        <is>
          <t>Step 2</t>
        </is>
      </c>
      <c r="B66" s="19" t="inlineStr">
        <is>
          <t>Find cells highlighted in YELLOW - these are editable assumptions</t>
        </is>
      </c>
    </row>
    <row r="67">
      <c r="A67" s="18" t="inlineStr">
        <is>
          <t>Step 3</t>
        </is>
      </c>
      <c r="B67" s="19" t="inlineStr">
        <is>
          <t>Change any yellow cell value (scan rate, conversion rate, cost, etc.)</t>
        </is>
      </c>
    </row>
    <row r="68">
      <c r="A68" s="18" t="inlineStr">
        <is>
          <t>Step 4</t>
        </is>
      </c>
      <c r="B68" s="19" t="inlineStr">
        <is>
          <t>Watch all calculated results update automatically via formulas</t>
        </is>
      </c>
    </row>
    <row r="69">
      <c r="A69" s="18" t="inlineStr">
        <is>
          <t>Step 5</t>
        </is>
      </c>
      <c r="B69" s="19" t="inlineStr">
        <is>
          <t>Compare three scenarios side-by-side to understand impact of platform features</t>
        </is>
      </c>
    </row>
    <row r="70">
      <c r="A70" s="18" t="inlineStr">
        <is>
          <t>Step 6</t>
        </is>
      </c>
      <c r="B70" s="19" t="inlineStr">
        <is>
          <t>Use "Compare Channels" sheet to see BagBuddy vs Digital Ads vs Flyers</t>
        </is>
      </c>
    </row>
    <row r="71">
      <c r="A71" s="18" t="inlineStr">
        <is>
          <t>Note</t>
        </is>
      </c>
      <c r="B71" s="19" t="inlineStr">
        <is>
          <t>All calculations use formulas - no manual recalculation needed!</t>
        </is>
      </c>
    </row>
  </sheetData>
  <mergeCells count="24">
    <mergeCell ref="A5:D5"/>
    <mergeCell ref="A23:D23"/>
    <mergeCell ref="B60:D60"/>
    <mergeCell ref="B67:D67"/>
    <mergeCell ref="B61:D61"/>
    <mergeCell ref="B57:D57"/>
    <mergeCell ref="A10:D10"/>
    <mergeCell ref="B69:D69"/>
    <mergeCell ref="A64:D64"/>
    <mergeCell ref="B65:D65"/>
    <mergeCell ref="B68:D68"/>
    <mergeCell ref="A1:D1"/>
    <mergeCell ref="A41:D41"/>
    <mergeCell ref="A16:D16"/>
    <mergeCell ref="B62:D62"/>
    <mergeCell ref="B59:D59"/>
    <mergeCell ref="B66:D66"/>
    <mergeCell ref="B71:D71"/>
    <mergeCell ref="A55:D55"/>
    <mergeCell ref="B58:D58"/>
    <mergeCell ref="B70:D70"/>
    <mergeCell ref="A2:D2"/>
    <mergeCell ref="A47:D47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2025-11-09T04:45:01Z</dcterms:created>
  <dcterms:modified xsi:type="dcterms:W3CDTF">2025-11-09T04:45:01Z</dcterms:modified>
</cp:coreProperties>
</file>